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FDC42092-3976-4073-9AB6-6122A5D24F49}" xr6:coauthVersionLast="47" xr6:coauthVersionMax="47" xr10:uidLastSave="{00000000-0000-0000-0000-000000000000}"/>
  <bookViews>
    <workbookView xWindow="-108" yWindow="-108" windowWidth="23256" windowHeight="12456" tabRatio="500" firstSheet="1" activeTab="1" xr2:uid="{00000000-000D-0000-FFFF-FFFF00000000}"/>
  </bookViews>
  <sheets>
    <sheet name="Instrucciones" sheetId="1" r:id="rId1"/>
    <sheet name="Registro de Riesgos" sheetId="2" r:id="rId2"/>
    <sheet name="Matriz de Probabilidad-Impacto" sheetId="3" r:id="rId3"/>
    <sheet name="Guía y Escalas" sheetId="4" r:id="rId4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7" i="3" l="1"/>
  <c r="D16" i="3"/>
  <c r="D15" i="3"/>
  <c r="G11" i="3"/>
  <c r="F11" i="3"/>
  <c r="E11" i="3"/>
  <c r="D11" i="3"/>
  <c r="C11" i="3"/>
  <c r="G10" i="3"/>
  <c r="F10" i="3"/>
  <c r="E10" i="3"/>
  <c r="D10" i="3"/>
  <c r="C10" i="3"/>
  <c r="G9" i="3"/>
  <c r="F9" i="3"/>
  <c r="E9" i="3"/>
  <c r="D9" i="3"/>
  <c r="C9" i="3"/>
  <c r="G8" i="3"/>
  <c r="F8" i="3"/>
  <c r="E8" i="3"/>
  <c r="D8" i="3"/>
  <c r="C8" i="3"/>
  <c r="G7" i="3"/>
  <c r="F7" i="3"/>
  <c r="E7" i="3"/>
  <c r="D7" i="3"/>
  <c r="C7" i="3"/>
  <c r="G33" i="2"/>
  <c r="H33" i="2" s="1"/>
  <c r="I33" i="2" s="1"/>
  <c r="A33" i="2"/>
  <c r="G32" i="2"/>
  <c r="H32" i="2" s="1"/>
  <c r="I32" i="2" s="1"/>
  <c r="A32" i="2"/>
  <c r="G31" i="2"/>
  <c r="H31" i="2" s="1"/>
  <c r="I31" i="2" s="1"/>
  <c r="A31" i="2"/>
  <c r="G30" i="2"/>
  <c r="H30" i="2" s="1"/>
  <c r="I30" i="2" s="1"/>
  <c r="A30" i="2"/>
  <c r="G29" i="2"/>
  <c r="H29" i="2" s="1"/>
  <c r="I29" i="2" s="1"/>
  <c r="A29" i="2"/>
  <c r="G28" i="2"/>
  <c r="H28" i="2" s="1"/>
  <c r="I28" i="2" s="1"/>
  <c r="A28" i="2"/>
  <c r="G27" i="2"/>
  <c r="H27" i="2" s="1"/>
  <c r="I27" i="2" s="1"/>
  <c r="A27" i="2"/>
  <c r="G26" i="2"/>
  <c r="H26" i="2" s="1"/>
  <c r="I26" i="2" s="1"/>
  <c r="A26" i="2"/>
  <c r="G25" i="2"/>
  <c r="H25" i="2" s="1"/>
  <c r="I25" i="2" s="1"/>
  <c r="A25" i="2"/>
  <c r="G24" i="2"/>
  <c r="H24" i="2" s="1"/>
  <c r="I24" i="2" s="1"/>
  <c r="A24" i="2"/>
  <c r="G23" i="2"/>
  <c r="H23" i="2" s="1"/>
  <c r="I23" i="2" s="1"/>
  <c r="A23" i="2"/>
  <c r="G22" i="2"/>
  <c r="H22" i="2" s="1"/>
  <c r="I22" i="2" s="1"/>
  <c r="A22" i="2"/>
  <c r="G21" i="2"/>
  <c r="H21" i="2" s="1"/>
  <c r="I21" i="2" s="1"/>
  <c r="A21" i="2"/>
  <c r="G20" i="2"/>
  <c r="H20" i="2" s="1"/>
  <c r="I20" i="2" s="1"/>
  <c r="A20" i="2"/>
  <c r="G19" i="2"/>
  <c r="H19" i="2" s="1"/>
  <c r="I19" i="2" s="1"/>
  <c r="A19" i="2"/>
  <c r="G18" i="2"/>
  <c r="H18" i="2" s="1"/>
  <c r="I18" i="2" s="1"/>
  <c r="A18" i="2"/>
  <c r="G17" i="2"/>
  <c r="H17" i="2" s="1"/>
  <c r="I17" i="2" s="1"/>
  <c r="A17" i="2"/>
  <c r="G16" i="2"/>
  <c r="H16" i="2" s="1"/>
  <c r="I16" i="2" s="1"/>
  <c r="A16" i="2"/>
  <c r="G15" i="2"/>
  <c r="H15" i="2" s="1"/>
  <c r="I15" i="2" s="1"/>
  <c r="A15" i="2"/>
  <c r="G14" i="2"/>
  <c r="H14" i="2" s="1"/>
  <c r="I14" i="2" s="1"/>
  <c r="A14" i="2"/>
  <c r="G13" i="2"/>
  <c r="H13" i="2" s="1"/>
  <c r="I13" i="2" s="1"/>
  <c r="A13" i="2"/>
  <c r="G12" i="2"/>
  <c r="H12" i="2" s="1"/>
  <c r="I12" i="2" s="1"/>
  <c r="A12" i="2"/>
  <c r="G11" i="2"/>
  <c r="H11" i="2" s="1"/>
  <c r="I11" i="2" s="1"/>
  <c r="A11" i="2"/>
  <c r="G10" i="2"/>
  <c r="H10" i="2" s="1"/>
  <c r="I10" i="2" s="1"/>
  <c r="A10" i="2"/>
  <c r="G9" i="2"/>
  <c r="H9" i="2" s="1"/>
  <c r="I9" i="2" s="1"/>
  <c r="G8" i="2"/>
  <c r="H8" i="2" s="1"/>
  <c r="I8" i="2" s="1"/>
  <c r="G7" i="2"/>
  <c r="H7" i="2" s="1"/>
  <c r="I7" i="2" s="1"/>
  <c r="G6" i="2"/>
  <c r="H6" i="2" s="1"/>
  <c r="I6" i="2" s="1"/>
  <c r="G5" i="2"/>
  <c r="H5" i="2" s="1"/>
  <c r="I5" i="2" s="1"/>
  <c r="G4" i="2"/>
  <c r="H4" i="2" s="1"/>
  <c r="D20" i="3" l="1"/>
  <c r="I4" i="2"/>
  <c r="D19" i="3"/>
  <c r="D18" i="3"/>
</calcChain>
</file>

<file path=xl/sharedStrings.xml><?xml version="1.0" encoding="utf-8"?>
<sst xmlns="http://schemas.openxmlformats.org/spreadsheetml/2006/main" count="197" uniqueCount="168">
  <si>
    <t>Plantilla de Registro y Gestión de Riesgos</t>
  </si>
  <si>
    <t>Proyecto de Sistemas de Información · SI4008 · Universidad EAFIT</t>
  </si>
  <si>
    <t>Use esta plantilla para identificar, clasificar y hacer seguimiento a los riesgos de su proyecto de curso. La hoja "Matriz de Probabilidad e Impacto" se actualiza automáticamente a medida que registra sus riesgos.</t>
  </si>
  <si>
    <t>Cómo leer los colores</t>
  </si>
  <si>
    <t>Celdas en amarillo claro</t>
  </si>
  <si>
    <t>Diligéncielas para cada riesgo: son la información que usted aporta.</t>
  </si>
  <si>
    <t>Celdas en gris</t>
  </si>
  <si>
    <t>Se calculan automáticamente (fórmulas). No las edite ni borre.</t>
  </si>
  <si>
    <t>Verde en la columna Nivel</t>
  </si>
  <si>
    <t>Riesgo Bajo (puntaje 1–5).</t>
  </si>
  <si>
    <t>Amarillo/dorado en la columna Nivel</t>
  </si>
  <si>
    <t>Riesgo Medio (puntaje 6–12).</t>
  </si>
  <si>
    <t>Rojo en la columna Nivel</t>
  </si>
  <si>
    <t>Riesgo Alto (puntaje 15–25).</t>
  </si>
  <si>
    <t>Pasos para usar la plantilla</t>
  </si>
  <si>
    <t>1. Vaya a la hoja "Registro de Riesgos". Las filas EJ-1 y EJ-2 son ejemplos: reemplácelas o bórrelas antes de entregar.</t>
  </si>
  <si>
    <t>2. Describa cada riesgo como un escenario: “Debido a [causa], puede ocurrir [evento], lo que generaría [efecto]”.</t>
  </si>
  <si>
    <t>3. Seleccione categoría, tipo (Amenaza u Oportunidad), probabilidad e impacto (escalas de 1 a 5 — ver hoja "Guía y Escalas").</t>
  </si>
  <si>
    <t>4. El puntaje, el nivel de exposición y la estrategia sugerida se calculan solos al llenar probabilidad e impacto.</t>
  </si>
  <si>
    <t>5. Complete el plan de acción específico, el disparador (trigger), el responsable y el estado del riesgo.</t>
  </si>
  <si>
    <t>6. Revise la hoja "Matriz de Probabilidad e Impacto": muestra cuántos riesgos caen en cada combinación y el total por nivel y por tipo.</t>
  </si>
  <si>
    <t>7. Actualice el registro en cada hito del proyecto — la gestión de riesgos no es un ejercicio de una sola vez.</t>
  </si>
  <si>
    <t>Hojas de esta plantilla</t>
  </si>
  <si>
    <t>Registro de Riesgos</t>
  </si>
  <si>
    <t>La tabla principal: un riesgo por fila.</t>
  </si>
  <si>
    <t>Matriz de Probabilidad e Impacto</t>
  </si>
  <si>
    <t>Vista automática de cómo se distribuyen los riesgos registrados.</t>
  </si>
  <si>
    <t>Guía y Escalas</t>
  </si>
  <si>
    <t>Definición de las escalas de probabilidad/impacto, categorías y estrategias de respuesta.</t>
  </si>
  <si>
    <t>Registro de Riesgos — Proyecto:</t>
  </si>
  <si>
    <t>ID</t>
  </si>
  <si>
    <r>
      <rPr>
        <b/>
        <sz val="10"/>
        <color rgb="FFFFFFFF"/>
        <rFont val="Arial"/>
      </rPr>
      <t xml:space="preserve">Riesgo (causa → evento → efecto)
</t>
    </r>
    <r>
      <rPr>
        <sz val="10"/>
        <color rgb="FFFFFFFF"/>
        <rFont val="Arial"/>
      </rPr>
      <t>Colores para marcar causa, evento y efecto (no significan positivo o negativo)</t>
    </r>
  </si>
  <si>
    <t>Categoría</t>
  </si>
  <si>
    <t>Tipo</t>
  </si>
  <si>
    <t>Probabilidad
(1-5)</t>
  </si>
  <si>
    <t>Impacto
(1-5)</t>
  </si>
  <si>
    <t>Puntaje</t>
  </si>
  <si>
    <t>Nivel de
exposición</t>
  </si>
  <si>
    <t>Qué hacer (estrategia sugerida)</t>
  </si>
  <si>
    <t>Plan de acción / respuesta específica</t>
  </si>
  <si>
    <t>Disparador (trigger)</t>
  </si>
  <si>
    <t>Responsable</t>
  </si>
  <si>
    <t>Estado</t>
  </si>
  <si>
    <t>Fecha de
identificación</t>
  </si>
  <si>
    <t>Última
actualización</t>
  </si>
  <si>
    <t>EJ-1</t>
  </si>
  <si>
    <r>
      <rPr>
        <b/>
        <sz val="9.5"/>
        <color rgb="FF26324A"/>
        <rFont val="Arial"/>
      </rPr>
      <t>Integración con API externa</t>
    </r>
    <r>
      <rPr>
        <sz val="9.5"/>
        <color rgb="FF26324A"/>
        <rFont val="Arial"/>
      </rPr>
      <t xml:space="preserve">: </t>
    </r>
    <r>
      <rPr>
        <sz val="9.5"/>
        <color rgb="FFFF0000"/>
        <rFont val="Arial"/>
      </rPr>
      <t>Debido a la dependencia de una API externa y a la posibilidad de fallos en su disponibilidad</t>
    </r>
    <r>
      <rPr>
        <sz val="9.5"/>
        <color rgb="FF26324A"/>
        <rFont val="Arial"/>
      </rPr>
      <t>,</t>
    </r>
    <r>
      <rPr>
        <sz val="9.5"/>
        <color rgb="FFFFC000"/>
        <rFont val="Arial"/>
      </rPr>
      <t xml:space="preserve"> las solicitudes de extracción de datos podrían fallar o exceder el tiempo de espera, </t>
    </r>
    <r>
      <rPr>
        <sz val="9.5"/>
        <color rgb="FF00B050"/>
        <rFont val="Arial"/>
      </rPr>
      <t>provocando interrupciones en la ingesta de información y retrasos en la actualización de los datos de oportunidades de contratación.</t>
    </r>
  </si>
  <si>
    <t>Externo</t>
  </si>
  <si>
    <t>Amenaza</t>
  </si>
  <si>
    <t>Definir un procesamiento de excepciones dentro de n8n para reintentos automáticos y asegurar el almacenamiento previo de datos crudos en la capa de Staging de Supabase ante caídas o lentitud de la API externa.
ACTUALIZACION: Hasta la fecha de la ultima actualización la API responde correctamente a las solicitudes y no han habido inconvenientes</t>
  </si>
  <si>
    <t>La API externa presenta errores HTTP 5xx (de servidor) o tiempos de espera agotados durante 5 minutos consecutivos.</t>
  </si>
  <si>
    <t>Juan Jose Botero</t>
  </si>
  <si>
    <t>En seguimiento</t>
  </si>
  <si>
    <t>EJ-2</t>
  </si>
  <si>
    <r>
      <rPr>
        <b/>
        <sz val="9.5"/>
        <color rgb="FF26324A"/>
        <rFont val="Arial"/>
      </rPr>
      <t>Calidad y normalización de datos</t>
    </r>
    <r>
      <rPr>
        <sz val="9.5"/>
        <color rgb="FF26324A"/>
        <rFont val="Arial"/>
      </rPr>
      <t xml:space="preserve">: </t>
    </r>
    <r>
      <rPr>
        <sz val="9.5"/>
        <color rgb="FFFF0000"/>
        <rFont val="Arial"/>
      </rPr>
      <t>Debido a la heterogeneidad y posible inconsistencia de los datos recibidos desde la API externa,</t>
    </r>
    <r>
      <rPr>
        <sz val="9.5"/>
        <color rgb="FF26324A"/>
        <rFont val="Arial"/>
      </rPr>
      <t xml:space="preserve"> </t>
    </r>
    <r>
      <rPr>
        <sz val="9.5"/>
        <color rgb="FFFFC000"/>
        <rFont val="Arial"/>
      </rPr>
      <t>podrían ingresar registros con NIT inválidos, entidades duplicadas, montos incorrectos o códigos UNSPSC/DANE no normalizados</t>
    </r>
    <r>
      <rPr>
        <sz val="9.5"/>
        <color rgb="FF26324A"/>
        <rFont val="Arial"/>
      </rPr>
      <t xml:space="preserve">, </t>
    </r>
    <r>
      <rPr>
        <sz val="9.5"/>
        <color rgb="FF00B050"/>
        <rFont val="Arial"/>
      </rPr>
      <t>afectando la confiabilidad de los resultados y la precisión de las oportunidades identificadas.</t>
    </r>
  </si>
  <si>
    <t>Técnico</t>
  </si>
  <si>
    <t>Diseñar e implementar en un Code Node de Python dentro de n8n un motor estricto de validación, limpieza y normalización (NITs, entidades, montos, catálogo DANE).
ACTUALIZACION: Ya se desarrollo el flujo de n8n para realizar la limpieza y normalización</t>
  </si>
  <si>
    <t>Más del 15% de los registros procesados en una ejecución incumple las reglas de validación de NIT, montos, entidades o códigos de catálogo.</t>
  </si>
  <si>
    <t>EJ-3</t>
  </si>
  <si>
    <r>
      <rPr>
        <b/>
        <sz val="9.5"/>
        <color rgb="FF26324A"/>
        <rFont val="Arial"/>
      </rPr>
      <t>Criterios de filtrado comercial</t>
    </r>
    <r>
      <rPr>
        <sz val="9.5"/>
        <color rgb="FF26324A"/>
        <rFont val="Arial"/>
      </rPr>
      <t xml:space="preserve">: </t>
    </r>
    <r>
      <rPr>
        <sz val="9.5"/>
        <color rgb="FFFF0000"/>
        <rFont val="Arial"/>
      </rPr>
      <t>Debido a la falta de validación oportuna de los criterios de filtrado con el Product Owner</t>
    </r>
    <r>
      <rPr>
        <sz val="9.5"/>
        <color rgb="FF26324A"/>
        <rFont val="Arial"/>
      </rPr>
      <t xml:space="preserve">, </t>
    </r>
    <r>
      <rPr>
        <sz val="9.5"/>
        <color rgb="FFFFC000"/>
        <rFont val="Arial"/>
      </rPr>
      <t>podrían aplicarse parámetros incorrectos de UNSPSC, cuantías o zonas geográficas</t>
    </r>
    <r>
      <rPr>
        <sz val="9.5"/>
        <color rgb="FF26324A"/>
        <rFont val="Arial"/>
      </rPr>
      <t xml:space="preserve">, </t>
    </r>
    <r>
      <rPr>
        <sz val="9.5"/>
        <color rgb="FF00B050"/>
        <rFont val="Arial"/>
      </rPr>
      <t>ocasionando que se descarten oportunidades relevantes o se presenten resultados poco pertinentes para el equipo comercial.</t>
    </r>
  </si>
  <si>
    <t>Operativo</t>
  </si>
  <si>
    <t>Validar y confirmar por escrito los criterios de filtrado (UNSPSC, cuantías, zonas) con el Product Owner antes del sprint 6, realizando revisiones semanales de precisión durante el piloto
ACTUALIZACIÓN: Ya se tienen los criterios acordados en la reunion del 27 septiembre</t>
  </si>
  <si>
    <t>Durante la revisión semanal del piloto, más del 10 % de las oportunidades evaluadas por el equipo comercial se considera irrelevante o se identifica que faltan oportunidades que cumplen los criterios acordados.</t>
  </si>
  <si>
    <t>Cristobal Rodriguez</t>
  </si>
  <si>
    <t>Identificado</t>
  </si>
  <si>
    <t>EJ-4</t>
  </si>
  <si>
    <r>
      <rPr>
        <b/>
        <sz val="9.5"/>
        <color rgb="FF26324A"/>
        <rFont val="Arial"/>
      </rPr>
      <t>Adopción por parte del equipo comercial:</t>
    </r>
    <r>
      <rPr>
        <sz val="9.5"/>
        <color rgb="FF26324A"/>
        <rFont val="Arial"/>
      </rPr>
      <t xml:space="preserve"> </t>
    </r>
    <r>
      <rPr>
        <sz val="9.5"/>
        <color rgb="FFFF0000"/>
        <rFont val="Arial"/>
      </rPr>
      <t>Debido a una capacitación insuficiente o a la falta de apropiación de la herramienta por parte del equipo comercial</t>
    </r>
    <r>
      <rPr>
        <sz val="9.5"/>
        <color rgb="FF26324A"/>
        <rFont val="Arial"/>
      </rPr>
      <t xml:space="preserve">, </t>
    </r>
    <r>
      <rPr>
        <sz val="9.5"/>
        <color rgb="FFFFC000"/>
        <rFont val="Arial"/>
      </rPr>
      <t>los usuarios podrían no utilizar correctamente los resultados o continuar dependiendo exclusivamente de procesos manuales</t>
    </r>
    <r>
      <rPr>
        <sz val="9.5"/>
        <color rgb="FF26324A"/>
        <rFont val="Arial"/>
      </rPr>
      <t xml:space="preserve">, </t>
    </r>
    <r>
      <rPr>
        <sz val="9.5"/>
        <color rgb="FF00B050"/>
        <rFont val="Arial"/>
      </rPr>
      <t>reduciendo el aprovechamiento de la solución y los beneficios esperados del proyecto.</t>
    </r>
  </si>
  <si>
    <t>Organizacional</t>
  </si>
  <si>
    <t>Capacitar al 100 % del equipo comercial antes del piloto, involucrándolos activamente en la validación del criterio comercial para que entiendan la herramienta como un apoyo y no como una sustitución
ACTUALIZACIÓN: Riesgo sigue presente, todavia no se ha hecho ningun cambio</t>
  </si>
  <si>
    <t>Al finalizar la capacitación, menos del 100 % del equipo comercial ha participado, o durante las primeras dos semanas del piloto menos del 50% de los usuarios utiliza la herramienta según el procedimiento definido.</t>
  </si>
  <si>
    <t>Samuel Villa</t>
  </si>
  <si>
    <t>EJ-5</t>
  </si>
  <si>
    <r>
      <rPr>
        <b/>
        <sz val="9.5"/>
        <color rgb="FF000000"/>
        <rFont val="Arial"/>
      </rPr>
      <t>Acceso a la API del CRM</t>
    </r>
    <r>
      <rPr>
        <sz val="9.5"/>
        <color rgb="FF000000"/>
        <rFont val="Arial"/>
      </rPr>
      <t xml:space="preserve">: </t>
    </r>
    <r>
      <rPr>
        <sz val="9.5"/>
        <color rgb="FFFF0000"/>
        <rFont val="Arial"/>
      </rPr>
      <t>Debido a la dependencia de la autorización y disponibilidad de acceso a la API del CRM</t>
    </r>
    <r>
      <rPr>
        <sz val="9.5"/>
        <color rgb="FF000000"/>
        <rFont val="Arial"/>
      </rPr>
      <t xml:space="preserve">, </t>
    </r>
    <r>
      <rPr>
        <sz val="9.5"/>
        <color rgb="FFFFC000"/>
        <rFont val="Arial"/>
      </rPr>
      <t>podría no ser posible implementar la integración dentro del plazo previsto</t>
    </r>
    <r>
      <rPr>
        <sz val="9.5"/>
        <color rgb="FF000000"/>
        <rFont val="Arial"/>
      </rPr>
      <t xml:space="preserve">, </t>
    </r>
    <r>
      <rPr>
        <sz val="9.5"/>
        <color rgb="FF00B050"/>
        <rFont val="Arial"/>
      </rPr>
      <t>generando retrasos en el alcance del proyecto y obligando a utilizar un mecanismo alternativo de carga de información.</t>
    </r>
  </si>
  <si>
    <t>Gestión del Proyecto</t>
  </si>
  <si>
    <t>Declarar explícitamente en la documentación y reuniones quincenales que la integración al CRM es un alcance condicional; de no contar con acceso a la API al 30-09-2026, se sustituye por la carga manual estructurada
ACTUALIZACIÓN: Ya se descarto la integración ya que en semanas no es posible lograr el accceso a una API del CRM</t>
  </si>
  <si>
    <t>Al 30/09/2026, no se cuenta con credenciales, documentación técnica ni permisos de acceso a la API del CRM confirmados y probados.</t>
  </si>
  <si>
    <t>Emanuel Castañeda</t>
  </si>
  <si>
    <t>EJ-6</t>
  </si>
  <si>
    <r>
      <rPr>
        <b/>
        <sz val="9.5"/>
        <color rgb="FF000000"/>
        <rFont val="Arial"/>
      </rPr>
      <t>Despliegue reproducible con Docker</t>
    </r>
    <r>
      <rPr>
        <sz val="9.5"/>
        <color rgb="FF000000"/>
        <rFont val="Arial"/>
      </rPr>
      <t>:</t>
    </r>
    <r>
      <rPr>
        <sz val="9.5"/>
        <color rgb="FFFF0000"/>
        <rFont val="Arial"/>
      </rPr>
      <t xml:space="preserve"> Debido a la ausencia de un entorno de ejecución estandarizado entre n8n y Python</t>
    </r>
    <r>
      <rPr>
        <sz val="9.5"/>
        <color rgb="FF000000"/>
        <rFont val="Arial"/>
      </rPr>
      <t xml:space="preserve">, </t>
    </r>
    <r>
      <rPr>
        <sz val="9.5"/>
        <color rgb="FFFFC000"/>
        <rFont val="Arial"/>
      </rPr>
      <t>podrían presentarse diferencias de configuración o dependencias al desplegar la solución en la infraestructura de GRECO</t>
    </r>
    <r>
      <rPr>
        <sz val="9.5"/>
        <color rgb="FF000000"/>
        <rFont val="Arial"/>
      </rPr>
      <t xml:space="preserve">, </t>
    </r>
    <r>
      <rPr>
        <sz val="9.5"/>
        <color rgb="FF00B050"/>
        <rFont val="Arial"/>
      </rPr>
      <t>provocando errores de ejecución, incompatibilidades y mayores tiempos de mantenimiento.</t>
    </r>
  </si>
  <si>
    <t>Oportunidad</t>
  </si>
  <si>
    <t xml:space="preserve">Empaquetar n8n junto con el entorno de Python en contenedores Docker (docker-compose) para asegurar la ejecución independiente, limpia y reproducible en la infraestructura de GRECO.
ACTUALIZACION: Al descartarse la opcion de la integracion con el CRM directamente se opta por otra solución que ya esta en progreso </t>
  </si>
  <si>
    <t>La ejecución del flujo en un entorno distinto al de desarrollo falla por diferencias de versiones, dependencias o variables de entorno, o requiere configuración manual no documentada.</t>
  </si>
  <si>
    <t>Samuel Deossa</t>
  </si>
  <si>
    <t>Se calcula automáticamente a partir de los riesgos diligenciados en la hoja "Registro de Riesgos".</t>
  </si>
  <si>
    <t>Impacto</t>
  </si>
  <si>
    <t>1 · Muy bajo</t>
  </si>
  <si>
    <t>2 · Bajo</t>
  </si>
  <si>
    <t>3 · Medio</t>
  </si>
  <si>
    <t>4 · Alto</t>
  </si>
  <si>
    <t>5 · Muy alto</t>
  </si>
  <si>
    <t>Nivel de exposición</t>
  </si>
  <si>
    <t>Probabilidad</t>
  </si>
  <si>
    <t>5 · Muy alta</t>
  </si>
  <si>
    <t xml:space="preserve"> </t>
  </si>
  <si>
    <t>Bajo — aceptar y monitorear</t>
  </si>
  <si>
    <t>4 · Alta</t>
  </si>
  <si>
    <t>Medio — mitigar/mejorar, o transferir/compartir</t>
  </si>
  <si>
    <t>3 · Media</t>
  </si>
  <si>
    <t>Alto — actuar de inmediato</t>
  </si>
  <si>
    <t>2 · Baja</t>
  </si>
  <si>
    <t>1 · Muy baja</t>
  </si>
  <si>
    <t>Resumen del registro</t>
  </si>
  <si>
    <t>Total de riesgos registrados</t>
  </si>
  <si>
    <t>Amenazas</t>
  </si>
  <si>
    <t>Oportunidades</t>
  </si>
  <si>
    <t>Riesgos en nivel Alto</t>
  </si>
  <si>
    <t>Riesgos en nivel Medio</t>
  </si>
  <si>
    <t>Riesgos en nivel Bajo</t>
  </si>
  <si>
    <t>1. Escala de probabilidad</t>
  </si>
  <si>
    <t>Valor</t>
  </si>
  <si>
    <t>Nivel</t>
  </si>
  <si>
    <t>Descripción</t>
  </si>
  <si>
    <t>Muy baja</t>
  </si>
  <si>
    <t>Menos del 10% de probabilidad — es muy improbable que ocurra.</t>
  </si>
  <si>
    <t>Baja</t>
  </si>
  <si>
    <t>10% a 30% — podría ocurrir en circunstancias poco usuales.</t>
  </si>
  <si>
    <t>Media</t>
  </si>
  <si>
    <t>30% a 50% — es posible que ocurra.</t>
  </si>
  <si>
    <t>Alta</t>
  </si>
  <si>
    <t>50% a 70% — es probable que ocurra.</t>
  </si>
  <si>
    <t>Muy alta</t>
  </si>
  <si>
    <t>Más del 70% — se espera que ocurra en casi todas las circunstancias.</t>
  </si>
  <si>
    <t>2. Escala de impacto</t>
  </si>
  <si>
    <t>Muy bajo</t>
  </si>
  <si>
    <t>Efecto insignificante sobre alcance, tiempo, costo o calidad del proyecto.</t>
  </si>
  <si>
    <t>Bajo</t>
  </si>
  <si>
    <t>Efecto menor, manejable con ajustes mínimos al plan.</t>
  </si>
  <si>
    <t>Medio</t>
  </si>
  <si>
    <t>Efecto moderado; requiere ajustes visibles al plan del proyecto.</t>
  </si>
  <si>
    <t>Alto</t>
  </si>
  <si>
    <t>Efecto mayor sobre objetivos clave (tiempo, costo, alcance o calidad).</t>
  </si>
  <si>
    <t>Muy alto</t>
  </si>
  <si>
    <t>Efecto crítico; pone en riesgo el éxito o la viabilidad del proyecto.</t>
  </si>
  <si>
    <t>3. Nivel de exposición (Puntaje = Probabilidad × Impacto)</t>
  </si>
  <si>
    <t>Qué significa</t>
  </si>
  <si>
    <t>1 – 5</t>
  </si>
  <si>
    <t>Se acepta y se monitorea; no requiere acción inmediata.</t>
  </si>
  <si>
    <t>6 – 12</t>
  </si>
  <si>
    <t>Requiere un plan de respuesta y seguimiento periódico.</t>
  </si>
  <si>
    <t>15 – 25</t>
  </si>
  <si>
    <t>Requiere acción prioritaria e inmediata del líder y del equipo.</t>
  </si>
  <si>
    <t>4. Categorías de riesgo (Estructura de Desglose de Riesgos — RBS, PMI)</t>
  </si>
  <si>
    <t>Incluye</t>
  </si>
  <si>
    <t>Tecnología, diseño, calidad, arquitectura, integración.</t>
  </si>
  <si>
    <t>Planificación, estimación, comunicación, control.</t>
  </si>
  <si>
    <t>Recursos, prioridades, estructura, dependencias entre áreas.</t>
  </si>
  <si>
    <t>Mercado, regulación, proveedores, terceros, entorno.</t>
  </si>
  <si>
    <t>5. Estrategias de respuesta sugeridas</t>
  </si>
  <si>
    <t>Tipo / Nivel</t>
  </si>
  <si>
    <t>Estrategia</t>
  </si>
  <si>
    <t>Amenaza · Alto</t>
  </si>
  <si>
    <t>Evitar o Mitigar</t>
  </si>
  <si>
    <t>Cambiar el plan para eliminar el riesgo, o reducir su probabilidad/impacto a un nivel aceptable. Acción inmediata.</t>
  </si>
  <si>
    <t>Amenaza · Medio</t>
  </si>
  <si>
    <t>Mitigar o Transferir</t>
  </si>
  <si>
    <t>Reducir probabilidad/impacto, o trasladar la responsabilidad a un tercero (seguro, contrato, proveedor).</t>
  </si>
  <si>
    <t>Amenaza · Bajo</t>
  </si>
  <si>
    <t>Aceptar (monitorear)</t>
  </si>
  <si>
    <t>Aceptación pasiva o activa; se registra y se revisa periódicamente, sin acción inmediata.</t>
  </si>
  <si>
    <t>Oportunidad · Alto</t>
  </si>
  <si>
    <t>Explotar o Compartir</t>
  </si>
  <si>
    <t>Actuar para asegurar que el beneficio se concrete, o compartirlo con un tercero mejor capacitado para capturarlo.</t>
  </si>
  <si>
    <t>Oportunidad · Medio</t>
  </si>
  <si>
    <t>Mejorar o Compartir</t>
  </si>
  <si>
    <t>Aumentar la probabilidad o el impacto positivo, o compartir la oportunidad con un tercero.</t>
  </si>
  <si>
    <t>Oportunidad · Bajo</t>
  </si>
  <si>
    <t>Se aprovecha si se presenta, sin inversión adicional de esfuerzo.</t>
  </si>
  <si>
    <t>Nota — Escalar: cuando un riesgo (amenaza u oportunidad) supera la autoridad del líder de proyecto o el alcance del proyecto, debe escalarse al sponsor, comité o PMO en lugar de gestionarse solo dentro del equipo.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</si>
</sst>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1"/>
      <color theme="1"/>
      <name val="Calibri"/>
      <family val="2"/>
      <charset val="1"/>
    </font>
    <font>
      <b/>
      <sz val="20"/>
      <color rgb="FF0A2647"/>
      <name val="Arial"/>
      <family val="2"/>
    </font>
    <font>
      <i/>
      <sz val="12"/>
      <color rgb="FF2C74B3"/>
      <name val="Arial"/>
      <family val="2"/>
    </font>
    <font>
      <sz val="11"/>
      <color rgb="FF26324A"/>
      <name val="Arial"/>
      <family val="2"/>
    </font>
    <font>
      <b/>
      <sz val="13"/>
      <color rgb="FF0A2647"/>
      <name val="Arial"/>
      <family val="2"/>
    </font>
    <font>
      <b/>
      <sz val="10.5"/>
      <color rgb="FF26324A"/>
      <name val="Arial"/>
      <family val="2"/>
    </font>
    <font>
      <sz val="10.5"/>
      <color rgb="FF26324A"/>
      <name val="Arial"/>
      <family val="2"/>
    </font>
    <font>
      <b/>
      <sz val="10.5"/>
      <color rgb="FF2C74B3"/>
      <name val="Arial"/>
      <family val="2"/>
    </font>
    <font>
      <b/>
      <sz val="14"/>
      <color rgb="FF0A2647"/>
      <name val="Arial"/>
      <family val="2"/>
    </font>
    <font>
      <b/>
      <sz val="10"/>
      <color rgb="FFFFFFFF"/>
      <name val="Arial"/>
      <family val="2"/>
    </font>
    <font>
      <i/>
      <sz val="9.5"/>
      <color rgb="FF2C74B3"/>
      <name val="Arial"/>
      <family val="2"/>
    </font>
    <font>
      <sz val="9.5"/>
      <color rgb="FF26324A"/>
      <name val="Arial"/>
      <family val="2"/>
    </font>
    <font>
      <b/>
      <sz val="18"/>
      <color rgb="FF0A2647"/>
      <name val="Arial"/>
      <family val="2"/>
    </font>
    <font>
      <i/>
      <sz val="10.5"/>
      <color rgb="FF2C74B3"/>
      <name val="Arial"/>
      <family val="2"/>
    </font>
    <font>
      <b/>
      <sz val="12"/>
      <color rgb="FF0A2647"/>
      <name val="Arial"/>
      <family val="2"/>
    </font>
    <font>
      <b/>
      <sz val="9.5"/>
      <color rgb="FF0A2647"/>
      <name val="Arial"/>
      <family val="2"/>
    </font>
    <font>
      <b/>
      <sz val="10.5"/>
      <color rgb="FF0A2647"/>
      <name val="Arial"/>
      <family val="2"/>
    </font>
    <font>
      <b/>
      <sz val="13"/>
      <color rgb="FFFFFFFF"/>
      <name val="Arial"/>
      <family val="2"/>
    </font>
    <font>
      <b/>
      <sz val="11"/>
      <color rgb="FF2C74B3"/>
      <name val="Arial"/>
      <family val="2"/>
    </font>
    <font>
      <b/>
      <sz val="12.5"/>
      <color rgb="FFFFFFFF"/>
      <name val="Arial"/>
      <family val="2"/>
    </font>
    <font>
      <b/>
      <sz val="10"/>
      <color rgb="FF0A2647"/>
      <name val="Arial"/>
      <family val="2"/>
    </font>
    <font>
      <sz val="10"/>
      <color rgb="FF26324A"/>
      <name val="Arial"/>
      <family val="2"/>
    </font>
    <font>
      <b/>
      <sz val="10"/>
      <color rgb="FF26324A"/>
      <name val="Arial"/>
      <family val="2"/>
    </font>
    <font>
      <b/>
      <sz val="9.5"/>
      <color rgb="FF2C74B3"/>
      <name val="Arial"/>
      <family val="2"/>
    </font>
    <font>
      <sz val="9.5"/>
      <color rgb="FF2C74B3"/>
      <name val="Arial"/>
      <family val="2"/>
    </font>
    <font>
      <sz val="9.5"/>
      <name val="Arial"/>
      <family val="2"/>
    </font>
    <font>
      <sz val="9.5"/>
      <color theme="1"/>
      <name val="Arial"/>
      <family val="2"/>
    </font>
    <font>
      <sz val="8"/>
      <name val="Calibri"/>
      <family val="2"/>
      <charset val="1"/>
    </font>
    <font>
      <sz val="9.5"/>
      <color rgb="FF26324A"/>
      <name val="Arial"/>
    </font>
    <font>
      <sz val="9.5"/>
      <color rgb="FFFF0000"/>
      <name val="Arial"/>
    </font>
    <font>
      <sz val="9.5"/>
      <color rgb="FFFFC000"/>
      <name val="Arial"/>
    </font>
    <font>
      <sz val="9.5"/>
      <color rgb="FF00B050"/>
      <name val="Arial"/>
    </font>
    <font>
      <b/>
      <sz val="10"/>
      <color rgb="FFFFFFFF"/>
      <name val="Arial"/>
    </font>
    <font>
      <sz val="10"/>
      <color rgb="FFFFFFFF"/>
      <name val="Arial"/>
    </font>
    <font>
      <b/>
      <sz val="9.5"/>
      <color rgb="FF26324A"/>
      <name val="Arial"/>
    </font>
    <font>
      <sz val="9.5"/>
      <color rgb="FF000000"/>
      <name val="Arial"/>
    </font>
    <font>
      <b/>
      <sz val="9.5"/>
      <color rgb="FF000000"/>
      <name val="Arial"/>
    </font>
    <font>
      <sz val="9.5"/>
      <color theme="1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7D6"/>
        <bgColor rgb="FFF9F9F9"/>
      </patternFill>
    </fill>
    <fill>
      <patternFill patternType="solid">
        <fgColor rgb="FFEDEDED"/>
        <bgColor rgb="FFE8F1FA"/>
      </patternFill>
    </fill>
    <fill>
      <patternFill patternType="solid">
        <fgColor rgb="FF2E7D32"/>
        <bgColor rgb="FF008000"/>
      </patternFill>
    </fill>
    <fill>
      <patternFill patternType="solid">
        <fgColor rgb="FFF2B705"/>
        <bgColor rgb="FFFF9900"/>
      </patternFill>
    </fill>
    <fill>
      <patternFill patternType="solid">
        <fgColor rgb="FFC1121F"/>
        <bgColor rgb="FFFF0000"/>
      </patternFill>
    </fill>
    <fill>
      <patternFill patternType="solid">
        <fgColor rgb="FF0A2647"/>
        <bgColor rgb="FF26324A"/>
      </patternFill>
    </fill>
    <fill>
      <patternFill patternType="solid">
        <fgColor rgb="FFFFFFFF"/>
        <bgColor rgb="FFF9F9F9"/>
      </patternFill>
    </fill>
    <fill>
      <patternFill patternType="solid">
        <fgColor rgb="FFE8F1FA"/>
        <bgColor rgb="FFEDEDED"/>
      </patternFill>
    </fill>
    <fill>
      <patternFill patternType="solid">
        <fgColor rgb="FF2C74B3"/>
        <bgColor rgb="FF4F81BD"/>
      </patternFill>
    </fill>
    <fill>
      <patternFill patternType="solid">
        <fgColor theme="0"/>
        <bgColor rgb="FFF9F9F9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  <border>
      <left style="thin">
        <color rgb="FFC9CED6"/>
      </left>
      <right/>
      <top style="thin">
        <color rgb="FFC9CED6"/>
      </top>
      <bottom style="thin">
        <color rgb="FFC9CED6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4" fillId="0" borderId="0" xfId="0" applyFont="1"/>
    <xf numFmtId="0" fontId="0" fillId="2" borderId="1" xfId="0" applyFill="1" applyBorder="1"/>
    <xf numFmtId="0" fontId="5" fillId="0" borderId="0" xfId="0" applyFont="1" applyAlignment="1">
      <alignment horizontal="left" vertical="center" wrapText="1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7" fillId="0" borderId="0" xfId="0" applyFont="1"/>
    <xf numFmtId="0" fontId="9" fillId="7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top" wrapText="1"/>
    </xf>
    <xf numFmtId="1" fontId="11" fillId="2" borderId="1" xfId="0" applyNumberFormat="1" applyFont="1" applyFill="1" applyBorder="1" applyAlignment="1">
      <alignment horizontal="center" vertical="center" wrapText="1"/>
    </xf>
    <xf numFmtId="1" fontId="11" fillId="3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top" wrapText="1"/>
    </xf>
    <xf numFmtId="14" fontId="11" fillId="2" borderId="1" xfId="0" applyNumberFormat="1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6" fillId="0" borderId="0" xfId="0" applyFont="1"/>
    <xf numFmtId="0" fontId="18" fillId="0" borderId="0" xfId="0" applyFont="1" applyAlignment="1">
      <alignment horizontal="center"/>
    </xf>
    <xf numFmtId="0" fontId="20" fillId="9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left" vertical="top" wrapText="1"/>
    </xf>
    <xf numFmtId="1" fontId="11" fillId="8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4" fontId="11" fillId="8" borderId="1" xfId="0" applyNumberFormat="1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left" vertical="top" wrapText="1"/>
    </xf>
    <xf numFmtId="0" fontId="11" fillId="11" borderId="1" xfId="0" applyFont="1" applyFill="1" applyBorder="1" applyAlignment="1">
      <alignment horizontal="left" vertical="top" wrapText="1"/>
    </xf>
    <xf numFmtId="1" fontId="11" fillId="11" borderId="1" xfId="0" applyNumberFormat="1" applyFont="1" applyFill="1" applyBorder="1" applyAlignment="1">
      <alignment horizontal="center" vertical="center" wrapText="1"/>
    </xf>
    <xf numFmtId="1" fontId="25" fillId="3" borderId="1" xfId="0" applyNumberFormat="1" applyFont="1" applyFill="1" applyBorder="1" applyAlignment="1">
      <alignment horizontal="center" vertical="center" wrapText="1"/>
    </xf>
    <xf numFmtId="0" fontId="26" fillId="12" borderId="0" xfId="0" applyFont="1" applyFill="1" applyAlignment="1">
      <alignment wrapText="1"/>
    </xf>
    <xf numFmtId="14" fontId="11" fillId="11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4" fillId="0" borderId="0" xfId="0" applyFont="1" applyAlignment="1">
      <alignment horizontal="center" vertical="center" textRotation="90" wrapText="1"/>
    </xf>
    <xf numFmtId="0" fontId="14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horizontal="left" vertical="top" wrapText="1"/>
    </xf>
    <xf numFmtId="0" fontId="20" fillId="9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8" fillId="8" borderId="1" xfId="0" applyFont="1" applyFill="1" applyBorder="1" applyAlignment="1">
      <alignment horizontal="left" vertical="top" wrapText="1"/>
    </xf>
    <xf numFmtId="0" fontId="32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8" fillId="11" borderId="1" xfId="0" applyFont="1" applyFill="1" applyBorder="1" applyAlignment="1">
      <alignment horizontal="left" vertical="top" wrapText="1"/>
    </xf>
    <xf numFmtId="0" fontId="35" fillId="0" borderId="0" xfId="0" applyFont="1" applyAlignment="1">
      <alignment wrapText="1"/>
    </xf>
    <xf numFmtId="0" fontId="37" fillId="0" borderId="0" xfId="0" applyFont="1" applyAlignment="1">
      <alignment wrapText="1"/>
    </xf>
    <xf numFmtId="0" fontId="1" fillId="0" borderId="0" xfId="0" applyFont="1" applyAlignment="1"/>
    <xf numFmtId="0" fontId="2" fillId="0" borderId="0" xfId="0" applyFont="1" applyAlignment="1"/>
    <xf numFmtId="0" fontId="4" fillId="0" borderId="0" xfId="0" applyFont="1" applyAlignment="1"/>
    <xf numFmtId="0" fontId="8" fillId="0" borderId="0" xfId="0" applyFont="1" applyAlignment="1"/>
    <xf numFmtId="0" fontId="0" fillId="2" borderId="2" xfId="0" applyFill="1" applyBorder="1" applyAlignment="1"/>
    <xf numFmtId="0" fontId="12" fillId="0" borderId="0" xfId="0" applyFont="1" applyAlignment="1"/>
    <xf numFmtId="0" fontId="13" fillId="0" borderId="0" xfId="0" applyFont="1" applyAlignment="1"/>
    <xf numFmtId="0" fontId="19" fillId="10" borderId="1" xfId="0" applyFont="1" applyFill="1" applyBorder="1" applyAlignment="1"/>
  </cellXfs>
  <cellStyles count="1">
    <cellStyle name="Normal" xfId="0" builtinId="0"/>
  </cellStyles>
  <dxfs count="5">
    <dxf>
      <font>
        <b/>
        <color rgb="FF2E7D32"/>
        <name val="Arial"/>
        <charset val="1"/>
      </font>
    </dxf>
    <dxf>
      <font>
        <b/>
        <color rgb="FFC1121F"/>
        <name val="Arial"/>
        <charset val="1"/>
      </font>
    </dxf>
    <dxf>
      <font>
        <b/>
        <color rgb="FFFFFFFF"/>
        <name val="Arial"/>
        <charset val="1"/>
      </font>
      <fill>
        <patternFill>
          <bgColor rgb="FF2E7D32"/>
        </patternFill>
      </fill>
    </dxf>
    <dxf>
      <font>
        <b/>
        <color rgb="FF0A2647"/>
        <name val="Arial"/>
        <charset val="1"/>
      </font>
      <fill>
        <patternFill>
          <bgColor rgb="FFF2B705"/>
        </patternFill>
      </fill>
    </dxf>
    <dxf>
      <font>
        <b/>
        <color rgb="FFFFFFFF"/>
        <name val="Arial"/>
        <charset val="1"/>
      </font>
      <fill>
        <patternFill>
          <bgColor rgb="FFC1121F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7D6"/>
      <rgbColor rgb="FFE8F1FA"/>
      <rgbColor rgb="FF660066"/>
      <rgbColor rgb="FFFF8080"/>
      <rgbColor rgb="FF0066CC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F9F9F9"/>
      <rgbColor rgb="FFFFFF99"/>
      <rgbColor rgb="FF99CCFF"/>
      <rgbColor rgb="FFFF99CC"/>
      <rgbColor rgb="FFCC99FF"/>
      <rgbColor rgb="FFFFCC99"/>
      <rgbColor rgb="FF2C74B3"/>
      <rgbColor rgb="FF33CCCC"/>
      <rgbColor rgb="FF99CC00"/>
      <rgbColor rgb="FFF2B705"/>
      <rgbColor rgb="FFFF9900"/>
      <rgbColor rgb="FFFF6600"/>
      <rgbColor rgb="FF4F81BD"/>
      <rgbColor rgb="FF969696"/>
      <rgbColor rgb="FF0A2647"/>
      <rgbColor rgb="FF2E7D32"/>
      <rgbColor rgb="FF003300"/>
      <rgbColor rgb="FF333300"/>
      <rgbColor rgb="FFC1121F"/>
      <rgbColor rgb="FF993366"/>
      <rgbColor rgb="FF333399"/>
      <rgbColor rgb="FF2632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Riesgos por nivel de exposición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'Matriz de Probabilidad-Impacto'!$B$18:$B$20</c:f>
              <c:strCache>
                <c:ptCount val="3"/>
                <c:pt idx="0">
                  <c:v>Riesgos en nivel Alto</c:v>
                </c:pt>
                <c:pt idx="1">
                  <c:v>Riesgos en nivel Medio</c:v>
                </c:pt>
                <c:pt idx="2">
                  <c:v>Riesgos en nivel Bajo</c:v>
                </c:pt>
              </c:strCache>
            </c:strRef>
          </c:cat>
          <c:val>
            <c:numRef>
              <c:f>'Matriz de Probabilidad-Impacto'!$D$18:$D$20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00-4DDC-B2EA-D38C584E93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869168"/>
        <c:axId val="92629486"/>
      </c:barChart>
      <c:catAx>
        <c:axId val="368691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Nivel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92629486"/>
        <c:crosses val="autoZero"/>
        <c:auto val="1"/>
        <c:lblAlgn val="ctr"/>
        <c:lblOffset val="100"/>
        <c:noMultiLvlLbl val="0"/>
      </c:catAx>
      <c:valAx>
        <c:axId val="926294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N.º de riesgos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3686916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86400</xdr:rowOff>
    </xdr:from>
    <xdr:to>
      <xdr:col>5</xdr:col>
      <xdr:colOff>583920</xdr:colOff>
      <xdr:row>33</xdr:row>
      <xdr:rowOff>129240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F27"/>
  <sheetViews>
    <sheetView showGridLines="0" topLeftCell="A5" zoomScaleNormal="100" workbookViewId="0"/>
  </sheetViews>
  <sheetFormatPr defaultColWidth="8.7109375" defaultRowHeight="14.45"/>
  <cols>
    <col min="1" max="1" width="3" customWidth="1"/>
    <col min="2" max="6" width="30" customWidth="1"/>
    <col min="7" max="7" width="3" customWidth="1"/>
  </cols>
  <sheetData>
    <row r="2" spans="2:6" ht="24.6">
      <c r="B2" s="59" t="s">
        <v>0</v>
      </c>
      <c r="C2" s="59"/>
      <c r="D2" s="59"/>
      <c r="E2" s="59"/>
      <c r="F2" s="59"/>
    </row>
    <row r="3" spans="2:6" ht="15.6">
      <c r="B3" s="60" t="s">
        <v>1</v>
      </c>
      <c r="C3" s="60"/>
      <c r="D3" s="60"/>
      <c r="E3" s="60"/>
      <c r="F3" s="60"/>
    </row>
    <row r="5" spans="2:6" ht="15" customHeight="1">
      <c r="B5" s="46" t="s">
        <v>2</v>
      </c>
      <c r="C5" s="46"/>
      <c r="D5" s="46"/>
      <c r="E5" s="46"/>
      <c r="F5" s="46"/>
    </row>
    <row r="6" spans="2:6">
      <c r="B6" s="46"/>
      <c r="C6" s="46"/>
      <c r="D6" s="46"/>
      <c r="E6" s="46"/>
      <c r="F6" s="46"/>
    </row>
    <row r="8" spans="2:6" ht="16.899999999999999">
      <c r="B8" s="1" t="s">
        <v>3</v>
      </c>
    </row>
    <row r="9" spans="2:6" ht="27.75" customHeight="1">
      <c r="B9" s="2"/>
      <c r="C9" s="3" t="s">
        <v>4</v>
      </c>
      <c r="D9" s="44" t="s">
        <v>5</v>
      </c>
      <c r="E9" s="44"/>
      <c r="F9" s="44"/>
    </row>
    <row r="10" spans="2:6" ht="27.75" customHeight="1">
      <c r="B10" s="4"/>
      <c r="C10" s="3" t="s">
        <v>6</v>
      </c>
      <c r="D10" s="44" t="s">
        <v>7</v>
      </c>
      <c r="E10" s="44"/>
      <c r="F10" s="44"/>
    </row>
    <row r="11" spans="2:6" ht="27.75" customHeight="1">
      <c r="B11" s="5"/>
      <c r="C11" s="3" t="s">
        <v>8</v>
      </c>
      <c r="D11" s="44" t="s">
        <v>9</v>
      </c>
      <c r="E11" s="44"/>
      <c r="F11" s="44"/>
    </row>
    <row r="12" spans="2:6" ht="27.75" customHeight="1">
      <c r="B12" s="6"/>
      <c r="C12" s="3" t="s">
        <v>10</v>
      </c>
      <c r="D12" s="44" t="s">
        <v>11</v>
      </c>
      <c r="E12" s="44"/>
      <c r="F12" s="44"/>
    </row>
    <row r="13" spans="2:6" ht="27.75" customHeight="1">
      <c r="B13" s="7"/>
      <c r="C13" s="3" t="s">
        <v>12</v>
      </c>
      <c r="D13" s="44" t="s">
        <v>13</v>
      </c>
      <c r="E13" s="44"/>
      <c r="F13" s="44"/>
    </row>
    <row r="15" spans="2:6" ht="16.899999999999999">
      <c r="B15" s="1" t="s">
        <v>14</v>
      </c>
    </row>
    <row r="16" spans="2:6" ht="25.5" customHeight="1">
      <c r="B16" s="45" t="s">
        <v>15</v>
      </c>
      <c r="C16" s="45"/>
      <c r="D16" s="45"/>
      <c r="E16" s="45"/>
      <c r="F16" s="45"/>
    </row>
    <row r="17" spans="2:6" ht="25.5" customHeight="1">
      <c r="B17" s="45" t="s">
        <v>16</v>
      </c>
      <c r="C17" s="45"/>
      <c r="D17" s="45"/>
      <c r="E17" s="45"/>
      <c r="F17" s="45"/>
    </row>
    <row r="18" spans="2:6" ht="25.5" customHeight="1">
      <c r="B18" s="45" t="s">
        <v>17</v>
      </c>
      <c r="C18" s="45"/>
      <c r="D18" s="45"/>
      <c r="E18" s="45"/>
      <c r="F18" s="45"/>
    </row>
    <row r="19" spans="2:6" ht="25.5" customHeight="1">
      <c r="B19" s="45" t="s">
        <v>18</v>
      </c>
      <c r="C19" s="45"/>
      <c r="D19" s="45"/>
      <c r="E19" s="45"/>
      <c r="F19" s="45"/>
    </row>
    <row r="20" spans="2:6" ht="25.5" customHeight="1">
      <c r="B20" s="45" t="s">
        <v>19</v>
      </c>
      <c r="C20" s="45"/>
      <c r="D20" s="45"/>
      <c r="E20" s="45"/>
      <c r="F20" s="45"/>
    </row>
    <row r="21" spans="2:6" ht="25.5" customHeight="1">
      <c r="B21" s="45" t="s">
        <v>20</v>
      </c>
      <c r="C21" s="45"/>
      <c r="D21" s="45"/>
      <c r="E21" s="45"/>
      <c r="F21" s="45"/>
    </row>
    <row r="22" spans="2:6" ht="25.5" customHeight="1">
      <c r="B22" s="45" t="s">
        <v>21</v>
      </c>
      <c r="C22" s="45"/>
      <c r="D22" s="45"/>
      <c r="E22" s="45"/>
      <c r="F22" s="45"/>
    </row>
    <row r="24" spans="2:6" ht="16.899999999999999">
      <c r="B24" s="61" t="s">
        <v>22</v>
      </c>
      <c r="C24" s="61"/>
      <c r="D24" s="61"/>
      <c r="E24" s="61"/>
      <c r="F24" s="61"/>
    </row>
    <row r="25" spans="2:6" ht="21.75" customHeight="1">
      <c r="B25" s="8" t="s">
        <v>23</v>
      </c>
      <c r="C25" s="44" t="s">
        <v>24</v>
      </c>
      <c r="D25" s="44"/>
      <c r="E25" s="44"/>
      <c r="F25" s="44"/>
    </row>
    <row r="26" spans="2:6" ht="21.75" customHeight="1">
      <c r="B26" s="8" t="s">
        <v>25</v>
      </c>
      <c r="C26" s="44" t="s">
        <v>26</v>
      </c>
      <c r="D26" s="44"/>
      <c r="E26" s="44"/>
      <c r="F26" s="44"/>
    </row>
    <row r="27" spans="2:6" ht="21.75" customHeight="1">
      <c r="B27" s="8" t="s">
        <v>27</v>
      </c>
      <c r="C27" s="44" t="s">
        <v>28</v>
      </c>
      <c r="D27" s="44"/>
      <c r="E27" s="44"/>
      <c r="F27" s="44"/>
    </row>
  </sheetData>
  <mergeCells count="19">
    <mergeCell ref="B2:F2"/>
    <mergeCell ref="B3:F3"/>
    <mergeCell ref="B5:F6"/>
    <mergeCell ref="D9:F9"/>
    <mergeCell ref="D10:F10"/>
    <mergeCell ref="D11:F11"/>
    <mergeCell ref="D12:F12"/>
    <mergeCell ref="D13:F13"/>
    <mergeCell ref="B16:F16"/>
    <mergeCell ref="B17:F17"/>
    <mergeCell ref="B24:F24"/>
    <mergeCell ref="C25:F25"/>
    <mergeCell ref="C26:F26"/>
    <mergeCell ref="C27:F27"/>
    <mergeCell ref="B18:F18"/>
    <mergeCell ref="B19:F19"/>
    <mergeCell ref="B20:F20"/>
    <mergeCell ref="B21:F21"/>
    <mergeCell ref="B22:F22"/>
  </mergeCells>
  <pageMargins left="0.3" right="0.3" top="0.4" bottom="0.4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34"/>
  <sheetViews>
    <sheetView showGridLines="0" tabSelected="1" zoomScaleNormal="100" workbookViewId="0">
      <pane xSplit="2" ySplit="4" topLeftCell="C5" activePane="bottomRight" state="frozen"/>
      <selection pane="bottomRight" activeCell="K8" sqref="K8"/>
      <selection pane="bottomLeft" activeCell="A5" sqref="A5"/>
      <selection pane="topRight" activeCell="C1" sqref="C1"/>
    </sheetView>
  </sheetViews>
  <sheetFormatPr defaultColWidth="8.7109375" defaultRowHeight="14.45"/>
  <cols>
    <col min="1" max="1" width="8" customWidth="1"/>
    <col min="2" max="2" width="46" customWidth="1"/>
    <col min="3" max="3" width="20" customWidth="1"/>
    <col min="4" max="5" width="14" customWidth="1"/>
    <col min="6" max="7" width="10" customWidth="1"/>
    <col min="8" max="8" width="13" customWidth="1"/>
    <col min="9" max="9" width="24" customWidth="1"/>
    <col min="10" max="10" width="34" customWidth="1"/>
    <col min="11" max="11" width="28" customWidth="1"/>
    <col min="12" max="12" width="18" customWidth="1"/>
    <col min="13" max="13" width="16" customWidth="1"/>
    <col min="14" max="15" width="14" customWidth="1"/>
  </cols>
  <sheetData>
    <row r="1" spans="1:15" ht="21.75" customHeight="1">
      <c r="A1" s="62" t="s">
        <v>29</v>
      </c>
      <c r="B1" s="62"/>
      <c r="C1" s="62"/>
      <c r="D1" s="62"/>
      <c r="E1" s="62"/>
      <c r="F1" s="62"/>
      <c r="G1" s="63"/>
      <c r="H1" s="63"/>
      <c r="I1" s="63"/>
      <c r="J1" s="63"/>
      <c r="K1" s="63"/>
      <c r="L1" s="63"/>
      <c r="M1" s="63"/>
      <c r="N1" s="63"/>
      <c r="O1" s="63"/>
    </row>
    <row r="2" spans="1:15" ht="15"/>
    <row r="3" spans="1:15" s="55" customFormat="1" ht="31.5" customHeight="1">
      <c r="A3" s="9" t="s">
        <v>30</v>
      </c>
      <c r="B3" s="54" t="s">
        <v>31</v>
      </c>
      <c r="C3" s="9" t="s">
        <v>32</v>
      </c>
      <c r="D3" s="9" t="s">
        <v>33</v>
      </c>
      <c r="E3" s="9" t="s">
        <v>34</v>
      </c>
      <c r="F3" s="9" t="s">
        <v>35</v>
      </c>
      <c r="G3" s="9" t="s">
        <v>36</v>
      </c>
      <c r="H3" s="9" t="s">
        <v>37</v>
      </c>
      <c r="I3" s="9" t="s">
        <v>38</v>
      </c>
      <c r="J3" s="9" t="s">
        <v>39</v>
      </c>
      <c r="K3" s="9" t="s">
        <v>40</v>
      </c>
      <c r="L3" s="9" t="s">
        <v>41</v>
      </c>
      <c r="M3" s="9" t="s">
        <v>42</v>
      </c>
      <c r="N3" s="9" t="s">
        <v>43</v>
      </c>
      <c r="O3" s="9" t="s">
        <v>44</v>
      </c>
    </row>
    <row r="4" spans="1:15" ht="118.5">
      <c r="A4" s="33" t="s">
        <v>45</v>
      </c>
      <c r="B4" s="53" t="s">
        <v>46</v>
      </c>
      <c r="C4" s="34" t="s">
        <v>47</v>
      </c>
      <c r="D4" s="34" t="s">
        <v>48</v>
      </c>
      <c r="E4" s="35">
        <v>3</v>
      </c>
      <c r="F4" s="35">
        <v>5</v>
      </c>
      <c r="G4" s="41">
        <f t="shared" ref="G4:G33" si="0">IF(OR($E4="",$F4=""),"",$E4*$F4)</f>
        <v>15</v>
      </c>
      <c r="H4" s="36" t="str">
        <f t="shared" ref="H4:H33" si="1">IF($G4="","",IF($G4&lt;=5,"Bajo",IF($G4&lt;=12,"Medio","Alto")))</f>
        <v>Alto</v>
      </c>
      <c r="I4" s="38" t="str">
        <f t="shared" ref="I4:I33" si="2">IF(OR($D4="",$H4=""),"",IF($D4="Amenaza",IF($H4="Alto","Evitar o Mitigar",IF($H4="Medio","Mitigar o Transferir","Aceptar (monitorear)")),IF($H4="Alto","Explotar o Compartir",IF($H4="Medio","Mejorar o Compartir","Aceptar (monitorear)"))))</f>
        <v>Evitar o Mitigar</v>
      </c>
      <c r="J4" s="34" t="s">
        <v>49</v>
      </c>
      <c r="K4" s="34" t="s">
        <v>50</v>
      </c>
      <c r="L4" s="34" t="s">
        <v>51</v>
      </c>
      <c r="M4" s="34" t="s">
        <v>52</v>
      </c>
      <c r="N4" s="37">
        <v>46287</v>
      </c>
      <c r="O4" s="37">
        <v>46308</v>
      </c>
    </row>
    <row r="5" spans="1:15" ht="96">
      <c r="A5" s="33" t="s">
        <v>53</v>
      </c>
      <c r="B5" s="53" t="s">
        <v>54</v>
      </c>
      <c r="C5" s="34" t="s">
        <v>55</v>
      </c>
      <c r="D5" s="34" t="s">
        <v>48</v>
      </c>
      <c r="E5" s="35">
        <v>4</v>
      </c>
      <c r="F5" s="35">
        <v>4</v>
      </c>
      <c r="G5" s="41">
        <f t="shared" si="0"/>
        <v>16</v>
      </c>
      <c r="H5" s="36" t="str">
        <f t="shared" si="1"/>
        <v>Alto</v>
      </c>
      <c r="I5" s="38" t="str">
        <f t="shared" si="2"/>
        <v>Evitar o Mitigar</v>
      </c>
      <c r="J5" s="34" t="s">
        <v>56</v>
      </c>
      <c r="K5" s="34" t="s">
        <v>57</v>
      </c>
      <c r="L5" s="34" t="s">
        <v>51</v>
      </c>
      <c r="M5" s="34" t="s">
        <v>52</v>
      </c>
      <c r="N5" s="37">
        <v>46287</v>
      </c>
      <c r="O5" s="37">
        <v>46308</v>
      </c>
    </row>
    <row r="6" spans="1:15" ht="96">
      <c r="A6" s="33" t="s">
        <v>58</v>
      </c>
      <c r="B6" s="56" t="s">
        <v>59</v>
      </c>
      <c r="C6" s="39" t="s">
        <v>60</v>
      </c>
      <c r="D6" s="39" t="s">
        <v>48</v>
      </c>
      <c r="E6" s="40">
        <v>2</v>
      </c>
      <c r="F6" s="40">
        <v>4</v>
      </c>
      <c r="G6" s="13">
        <f t="shared" si="0"/>
        <v>8</v>
      </c>
      <c r="H6" s="10" t="str">
        <f t="shared" si="1"/>
        <v>Medio</v>
      </c>
      <c r="I6" s="14" t="str">
        <f t="shared" si="2"/>
        <v>Mitigar o Transferir</v>
      </c>
      <c r="J6" s="42" t="s">
        <v>61</v>
      </c>
      <c r="K6" s="39" t="s">
        <v>62</v>
      </c>
      <c r="L6" s="39" t="s">
        <v>63</v>
      </c>
      <c r="M6" s="39" t="s">
        <v>64</v>
      </c>
      <c r="N6" s="37">
        <v>46287</v>
      </c>
      <c r="O6" s="43">
        <v>46308</v>
      </c>
    </row>
    <row r="7" spans="1:15" ht="107.25">
      <c r="A7" s="33" t="s">
        <v>65</v>
      </c>
      <c r="B7" s="56" t="s">
        <v>66</v>
      </c>
      <c r="C7" s="39" t="s">
        <v>67</v>
      </c>
      <c r="D7" s="39" t="s">
        <v>48</v>
      </c>
      <c r="E7" s="40">
        <v>3</v>
      </c>
      <c r="F7" s="40">
        <v>3</v>
      </c>
      <c r="G7" s="13">
        <f t="shared" si="0"/>
        <v>9</v>
      </c>
      <c r="H7" s="10" t="str">
        <f t="shared" si="1"/>
        <v>Medio</v>
      </c>
      <c r="I7" s="14" t="str">
        <f t="shared" si="2"/>
        <v>Mitigar o Transferir</v>
      </c>
      <c r="J7" s="39" t="s">
        <v>68</v>
      </c>
      <c r="K7" s="39" t="s">
        <v>69</v>
      </c>
      <c r="L7" s="39" t="s">
        <v>70</v>
      </c>
      <c r="M7" s="39" t="s">
        <v>64</v>
      </c>
      <c r="N7" s="37">
        <v>46287</v>
      </c>
      <c r="O7" s="43">
        <v>46308</v>
      </c>
    </row>
    <row r="8" spans="1:15" s="55" customFormat="1" ht="130.5">
      <c r="A8" s="33" t="s">
        <v>71</v>
      </c>
      <c r="B8" s="57" t="s">
        <v>72</v>
      </c>
      <c r="C8" s="39" t="s">
        <v>73</v>
      </c>
      <c r="D8" s="39" t="s">
        <v>48</v>
      </c>
      <c r="E8" s="40">
        <v>4</v>
      </c>
      <c r="F8" s="40">
        <v>1</v>
      </c>
      <c r="G8" s="13">
        <f t="shared" si="0"/>
        <v>4</v>
      </c>
      <c r="H8" s="10" t="str">
        <f t="shared" si="1"/>
        <v>Bajo</v>
      </c>
      <c r="I8" s="14" t="str">
        <f>IF(OR($D8="",$H8=""),"",IF($D8="Amenaza",IF($H8="Alto","Evitar o Mitigar",IF($H8="Medio","Mitigar o Transferir","Aceptar (monitorear)")),IF($H8="Alto","Explotar o Compartir",IF($H8="Medio","Mejorar o Compartir","Aceptar (monitorear)"))))</f>
        <v>Aceptar (monitorear)</v>
      </c>
      <c r="J8" s="39" t="s">
        <v>74</v>
      </c>
      <c r="K8" s="39" t="s">
        <v>75</v>
      </c>
      <c r="L8" s="39" t="s">
        <v>76</v>
      </c>
      <c r="M8" s="39" t="s">
        <v>64</v>
      </c>
      <c r="N8" s="37">
        <v>46287</v>
      </c>
      <c r="O8" s="43">
        <v>46296</v>
      </c>
    </row>
    <row r="9" spans="1:15" ht="118.5">
      <c r="A9" s="33" t="s">
        <v>77</v>
      </c>
      <c r="B9" s="58" t="s">
        <v>78</v>
      </c>
      <c r="C9" s="39" t="s">
        <v>55</v>
      </c>
      <c r="D9" s="39" t="s">
        <v>79</v>
      </c>
      <c r="E9" s="40">
        <v>4</v>
      </c>
      <c r="F9" s="40">
        <v>3</v>
      </c>
      <c r="G9" s="13">
        <f t="shared" si="0"/>
        <v>12</v>
      </c>
      <c r="H9" s="10" t="str">
        <f t="shared" si="1"/>
        <v>Medio</v>
      </c>
      <c r="I9" s="14" t="str">
        <f t="shared" si="2"/>
        <v>Mejorar o Compartir</v>
      </c>
      <c r="J9" s="39" t="s">
        <v>80</v>
      </c>
      <c r="K9" s="39" t="s">
        <v>81</v>
      </c>
      <c r="L9" s="39" t="s">
        <v>82</v>
      </c>
      <c r="M9" s="39" t="s">
        <v>64</v>
      </c>
      <c r="N9" s="37">
        <v>46296</v>
      </c>
      <c r="O9" s="43">
        <v>46308</v>
      </c>
    </row>
    <row r="10" spans="1:15" ht="39.75" customHeight="1">
      <c r="A10" s="10" t="str">
        <f t="shared" ref="A10:A33" si="3">IF($B10="","","R-"&amp;TEXT(ROW()-4,"00"))</f>
        <v/>
      </c>
      <c r="B10" s="11"/>
      <c r="C10" s="11"/>
      <c r="D10" s="11"/>
      <c r="E10" s="12"/>
      <c r="F10" s="12"/>
      <c r="G10" s="13" t="str">
        <f t="shared" si="0"/>
        <v/>
      </c>
      <c r="H10" s="10" t="str">
        <f t="shared" si="1"/>
        <v/>
      </c>
      <c r="I10" s="14" t="str">
        <f t="shared" si="2"/>
        <v/>
      </c>
      <c r="J10" s="11"/>
      <c r="K10" s="11"/>
      <c r="L10" s="11"/>
      <c r="M10" s="11"/>
      <c r="N10" s="15"/>
      <c r="O10" s="15"/>
    </row>
    <row r="11" spans="1:15" ht="39.75" customHeight="1">
      <c r="A11" s="10" t="str">
        <f t="shared" si="3"/>
        <v/>
      </c>
      <c r="B11" s="11"/>
      <c r="C11" s="11"/>
      <c r="D11" s="11"/>
      <c r="E11" s="12"/>
      <c r="F11" s="12"/>
      <c r="G11" s="13" t="str">
        <f t="shared" si="0"/>
        <v/>
      </c>
      <c r="H11" s="10" t="str">
        <f t="shared" si="1"/>
        <v/>
      </c>
      <c r="I11" s="14" t="str">
        <f t="shared" si="2"/>
        <v/>
      </c>
      <c r="J11" s="11"/>
      <c r="K11" s="11"/>
      <c r="L11" s="11"/>
      <c r="M11" s="11"/>
      <c r="N11" s="15"/>
      <c r="O11" s="15"/>
    </row>
    <row r="12" spans="1:15" ht="39.75" customHeight="1">
      <c r="A12" s="10" t="str">
        <f t="shared" si="3"/>
        <v/>
      </c>
      <c r="B12" s="11"/>
      <c r="C12" s="11"/>
      <c r="D12" s="11"/>
      <c r="E12" s="12"/>
      <c r="F12" s="12"/>
      <c r="G12" s="13" t="str">
        <f t="shared" si="0"/>
        <v/>
      </c>
      <c r="H12" s="10" t="str">
        <f t="shared" si="1"/>
        <v/>
      </c>
      <c r="I12" s="14" t="str">
        <f t="shared" si="2"/>
        <v/>
      </c>
      <c r="J12" s="11"/>
      <c r="K12" s="11"/>
      <c r="L12" s="11"/>
      <c r="M12" s="11"/>
      <c r="N12" s="15"/>
      <c r="O12" s="15"/>
    </row>
    <row r="13" spans="1:15" ht="39.75" customHeight="1">
      <c r="A13" s="10" t="str">
        <f t="shared" si="3"/>
        <v/>
      </c>
      <c r="B13" s="11"/>
      <c r="C13" s="11"/>
      <c r="D13" s="11"/>
      <c r="E13" s="12"/>
      <c r="F13" s="12"/>
      <c r="G13" s="13" t="str">
        <f t="shared" si="0"/>
        <v/>
      </c>
      <c r="H13" s="10" t="str">
        <f t="shared" si="1"/>
        <v/>
      </c>
      <c r="I13" s="14" t="str">
        <f t="shared" si="2"/>
        <v/>
      </c>
      <c r="J13" s="11"/>
      <c r="K13" s="11"/>
      <c r="L13" s="11"/>
      <c r="M13" s="11"/>
      <c r="N13" s="15"/>
      <c r="O13" s="15"/>
    </row>
    <row r="14" spans="1:15" ht="39.75" customHeight="1">
      <c r="A14" s="10" t="str">
        <f t="shared" si="3"/>
        <v/>
      </c>
      <c r="B14" s="11"/>
      <c r="C14" s="11"/>
      <c r="D14" s="11"/>
      <c r="E14" s="12"/>
      <c r="F14" s="12"/>
      <c r="G14" s="13" t="str">
        <f t="shared" si="0"/>
        <v/>
      </c>
      <c r="H14" s="10" t="str">
        <f t="shared" si="1"/>
        <v/>
      </c>
      <c r="I14" s="14" t="str">
        <f t="shared" si="2"/>
        <v/>
      </c>
      <c r="J14" s="11"/>
      <c r="K14" s="11"/>
      <c r="L14" s="11"/>
      <c r="M14" s="11"/>
      <c r="N14" s="15"/>
      <c r="O14" s="15"/>
    </row>
    <row r="15" spans="1:15" ht="39.75" customHeight="1">
      <c r="A15" s="10" t="str">
        <f t="shared" si="3"/>
        <v/>
      </c>
      <c r="B15" s="11"/>
      <c r="C15" s="11"/>
      <c r="D15" s="11"/>
      <c r="E15" s="12"/>
      <c r="F15" s="12"/>
      <c r="G15" s="13" t="str">
        <f t="shared" si="0"/>
        <v/>
      </c>
      <c r="H15" s="10" t="str">
        <f t="shared" si="1"/>
        <v/>
      </c>
      <c r="I15" s="14" t="str">
        <f t="shared" si="2"/>
        <v/>
      </c>
      <c r="J15" s="11"/>
      <c r="K15" s="11"/>
      <c r="L15" s="11"/>
      <c r="M15" s="11"/>
      <c r="N15" s="15"/>
      <c r="O15" s="15"/>
    </row>
    <row r="16" spans="1:15" ht="39.75" customHeight="1">
      <c r="A16" s="10" t="str">
        <f t="shared" si="3"/>
        <v/>
      </c>
      <c r="B16" s="11"/>
      <c r="C16" s="11"/>
      <c r="D16" s="11"/>
      <c r="E16" s="12"/>
      <c r="F16" s="12"/>
      <c r="G16" s="13" t="str">
        <f t="shared" si="0"/>
        <v/>
      </c>
      <c r="H16" s="10" t="str">
        <f t="shared" si="1"/>
        <v/>
      </c>
      <c r="I16" s="14" t="str">
        <f t="shared" si="2"/>
        <v/>
      </c>
      <c r="J16" s="11"/>
      <c r="K16" s="11"/>
      <c r="L16" s="11"/>
      <c r="M16" s="11"/>
      <c r="N16" s="15"/>
      <c r="O16" s="15"/>
    </row>
    <row r="17" spans="1:15" ht="39.75" customHeight="1">
      <c r="A17" s="10" t="str">
        <f t="shared" si="3"/>
        <v/>
      </c>
      <c r="B17" s="11"/>
      <c r="C17" s="11"/>
      <c r="D17" s="11"/>
      <c r="E17" s="12"/>
      <c r="F17" s="12"/>
      <c r="G17" s="13" t="str">
        <f t="shared" si="0"/>
        <v/>
      </c>
      <c r="H17" s="10" t="str">
        <f t="shared" si="1"/>
        <v/>
      </c>
      <c r="I17" s="14" t="str">
        <f t="shared" si="2"/>
        <v/>
      </c>
      <c r="J17" s="11"/>
      <c r="K17" s="11"/>
      <c r="L17" s="11"/>
      <c r="M17" s="11"/>
      <c r="N17" s="15"/>
      <c r="O17" s="15"/>
    </row>
    <row r="18" spans="1:15" ht="39.75" customHeight="1">
      <c r="A18" s="10" t="str">
        <f t="shared" si="3"/>
        <v/>
      </c>
      <c r="B18" s="11"/>
      <c r="C18" s="11"/>
      <c r="D18" s="11"/>
      <c r="E18" s="12"/>
      <c r="F18" s="12"/>
      <c r="G18" s="13" t="str">
        <f t="shared" si="0"/>
        <v/>
      </c>
      <c r="H18" s="10" t="str">
        <f t="shared" si="1"/>
        <v/>
      </c>
      <c r="I18" s="14" t="str">
        <f t="shared" si="2"/>
        <v/>
      </c>
      <c r="J18" s="11"/>
      <c r="K18" s="11"/>
      <c r="L18" s="11"/>
      <c r="M18" s="11"/>
      <c r="N18" s="15"/>
      <c r="O18" s="15"/>
    </row>
    <row r="19" spans="1:15" ht="39.75" customHeight="1">
      <c r="A19" s="10" t="str">
        <f t="shared" si="3"/>
        <v/>
      </c>
      <c r="B19" s="11"/>
      <c r="C19" s="11"/>
      <c r="D19" s="11"/>
      <c r="E19" s="12"/>
      <c r="F19" s="12"/>
      <c r="G19" s="13" t="str">
        <f t="shared" si="0"/>
        <v/>
      </c>
      <c r="H19" s="10" t="str">
        <f t="shared" si="1"/>
        <v/>
      </c>
      <c r="I19" s="14" t="str">
        <f t="shared" si="2"/>
        <v/>
      </c>
      <c r="J19" s="11"/>
      <c r="K19" s="11"/>
      <c r="L19" s="11"/>
      <c r="M19" s="11"/>
      <c r="N19" s="15"/>
      <c r="O19" s="15"/>
    </row>
    <row r="20" spans="1:15" ht="39.75" customHeight="1">
      <c r="A20" s="10" t="str">
        <f t="shared" si="3"/>
        <v/>
      </c>
      <c r="B20" s="11"/>
      <c r="C20" s="11"/>
      <c r="D20" s="11"/>
      <c r="E20" s="12"/>
      <c r="F20" s="12"/>
      <c r="G20" s="13" t="str">
        <f t="shared" si="0"/>
        <v/>
      </c>
      <c r="H20" s="10" t="str">
        <f t="shared" si="1"/>
        <v/>
      </c>
      <c r="I20" s="14" t="str">
        <f t="shared" si="2"/>
        <v/>
      </c>
      <c r="J20" s="11"/>
      <c r="K20" s="11"/>
      <c r="L20" s="11"/>
      <c r="M20" s="11"/>
      <c r="N20" s="15"/>
      <c r="O20" s="15"/>
    </row>
    <row r="21" spans="1:15" ht="39.75" customHeight="1">
      <c r="A21" s="10" t="str">
        <f t="shared" si="3"/>
        <v/>
      </c>
      <c r="B21" s="11"/>
      <c r="C21" s="11"/>
      <c r="D21" s="11"/>
      <c r="E21" s="12"/>
      <c r="F21" s="12"/>
      <c r="G21" s="13" t="str">
        <f t="shared" si="0"/>
        <v/>
      </c>
      <c r="H21" s="10" t="str">
        <f t="shared" si="1"/>
        <v/>
      </c>
      <c r="I21" s="14" t="str">
        <f t="shared" si="2"/>
        <v/>
      </c>
      <c r="J21" s="11"/>
      <c r="K21" s="11"/>
      <c r="L21" s="11"/>
      <c r="M21" s="11"/>
      <c r="N21" s="15"/>
      <c r="O21" s="15"/>
    </row>
    <row r="22" spans="1:15" ht="39.75" customHeight="1">
      <c r="A22" s="10" t="str">
        <f t="shared" si="3"/>
        <v/>
      </c>
      <c r="B22" s="11"/>
      <c r="C22" s="11"/>
      <c r="D22" s="11"/>
      <c r="E22" s="12"/>
      <c r="F22" s="12"/>
      <c r="G22" s="13" t="str">
        <f t="shared" si="0"/>
        <v/>
      </c>
      <c r="H22" s="10" t="str">
        <f t="shared" si="1"/>
        <v/>
      </c>
      <c r="I22" s="14" t="str">
        <f t="shared" si="2"/>
        <v/>
      </c>
      <c r="J22" s="11"/>
      <c r="K22" s="11"/>
      <c r="L22" s="11"/>
      <c r="M22" s="11"/>
      <c r="N22" s="15"/>
      <c r="O22" s="15"/>
    </row>
    <row r="23" spans="1:15" ht="39.75" customHeight="1">
      <c r="A23" s="10" t="str">
        <f t="shared" si="3"/>
        <v/>
      </c>
      <c r="B23" s="11"/>
      <c r="C23" s="11"/>
      <c r="D23" s="11"/>
      <c r="E23" s="12"/>
      <c r="F23" s="12"/>
      <c r="G23" s="13" t="str">
        <f t="shared" si="0"/>
        <v/>
      </c>
      <c r="H23" s="10" t="str">
        <f t="shared" si="1"/>
        <v/>
      </c>
      <c r="I23" s="14" t="str">
        <f t="shared" si="2"/>
        <v/>
      </c>
      <c r="J23" s="11"/>
      <c r="K23" s="11"/>
      <c r="L23" s="11"/>
      <c r="M23" s="11"/>
      <c r="N23" s="15"/>
      <c r="O23" s="15"/>
    </row>
    <row r="24" spans="1:15" ht="39.75" customHeight="1">
      <c r="A24" s="10" t="str">
        <f t="shared" si="3"/>
        <v/>
      </c>
      <c r="B24" s="11"/>
      <c r="C24" s="11"/>
      <c r="D24" s="11"/>
      <c r="E24" s="12"/>
      <c r="F24" s="12"/>
      <c r="G24" s="13" t="str">
        <f t="shared" si="0"/>
        <v/>
      </c>
      <c r="H24" s="10" t="str">
        <f t="shared" si="1"/>
        <v/>
      </c>
      <c r="I24" s="14" t="str">
        <f t="shared" si="2"/>
        <v/>
      </c>
      <c r="J24" s="11"/>
      <c r="K24" s="11"/>
      <c r="L24" s="11"/>
      <c r="M24" s="11"/>
      <c r="N24" s="15"/>
      <c r="O24" s="15"/>
    </row>
    <row r="25" spans="1:15" ht="39.75" customHeight="1">
      <c r="A25" s="10" t="str">
        <f t="shared" si="3"/>
        <v/>
      </c>
      <c r="B25" s="11"/>
      <c r="C25" s="11"/>
      <c r="D25" s="11"/>
      <c r="E25" s="12"/>
      <c r="F25" s="12"/>
      <c r="G25" s="13" t="str">
        <f t="shared" si="0"/>
        <v/>
      </c>
      <c r="H25" s="10" t="str">
        <f t="shared" si="1"/>
        <v/>
      </c>
      <c r="I25" s="14" t="str">
        <f t="shared" si="2"/>
        <v/>
      </c>
      <c r="J25" s="11"/>
      <c r="K25" s="11"/>
      <c r="L25" s="11"/>
      <c r="M25" s="11"/>
      <c r="N25" s="15"/>
      <c r="O25" s="15"/>
    </row>
    <row r="26" spans="1:15" ht="39.75" customHeight="1">
      <c r="A26" s="10" t="str">
        <f t="shared" si="3"/>
        <v/>
      </c>
      <c r="B26" s="11"/>
      <c r="C26" s="11"/>
      <c r="D26" s="11"/>
      <c r="E26" s="12"/>
      <c r="F26" s="12"/>
      <c r="G26" s="13" t="str">
        <f t="shared" si="0"/>
        <v/>
      </c>
      <c r="H26" s="10" t="str">
        <f t="shared" si="1"/>
        <v/>
      </c>
      <c r="I26" s="14" t="str">
        <f t="shared" si="2"/>
        <v/>
      </c>
      <c r="J26" s="11"/>
      <c r="K26" s="11"/>
      <c r="L26" s="11"/>
      <c r="M26" s="11"/>
      <c r="N26" s="15"/>
      <c r="O26" s="15"/>
    </row>
    <row r="27" spans="1:15" ht="39.75" customHeight="1">
      <c r="A27" s="10" t="str">
        <f t="shared" si="3"/>
        <v/>
      </c>
      <c r="B27" s="11"/>
      <c r="C27" s="11"/>
      <c r="D27" s="11"/>
      <c r="E27" s="12"/>
      <c r="F27" s="12"/>
      <c r="G27" s="13" t="str">
        <f t="shared" si="0"/>
        <v/>
      </c>
      <c r="H27" s="10" t="str">
        <f t="shared" si="1"/>
        <v/>
      </c>
      <c r="I27" s="14" t="str">
        <f t="shared" si="2"/>
        <v/>
      </c>
      <c r="J27" s="11"/>
      <c r="K27" s="11"/>
      <c r="L27" s="11"/>
      <c r="M27" s="11"/>
      <c r="N27" s="15"/>
      <c r="O27" s="15"/>
    </row>
    <row r="28" spans="1:15" ht="39.75" customHeight="1">
      <c r="A28" s="10" t="str">
        <f t="shared" si="3"/>
        <v/>
      </c>
      <c r="B28" s="11"/>
      <c r="C28" s="11"/>
      <c r="D28" s="11"/>
      <c r="E28" s="12"/>
      <c r="F28" s="12"/>
      <c r="G28" s="13" t="str">
        <f t="shared" si="0"/>
        <v/>
      </c>
      <c r="H28" s="10" t="str">
        <f t="shared" si="1"/>
        <v/>
      </c>
      <c r="I28" s="14" t="str">
        <f t="shared" si="2"/>
        <v/>
      </c>
      <c r="J28" s="11"/>
      <c r="K28" s="11"/>
      <c r="L28" s="11"/>
      <c r="M28" s="11"/>
      <c r="N28" s="15"/>
      <c r="O28" s="15"/>
    </row>
    <row r="29" spans="1:15" ht="39.75" customHeight="1">
      <c r="A29" s="10" t="str">
        <f t="shared" si="3"/>
        <v/>
      </c>
      <c r="B29" s="11"/>
      <c r="C29" s="11"/>
      <c r="D29" s="11"/>
      <c r="E29" s="12"/>
      <c r="F29" s="12"/>
      <c r="G29" s="13" t="str">
        <f t="shared" si="0"/>
        <v/>
      </c>
      <c r="H29" s="10" t="str">
        <f t="shared" si="1"/>
        <v/>
      </c>
      <c r="I29" s="14" t="str">
        <f t="shared" si="2"/>
        <v/>
      </c>
      <c r="J29" s="11"/>
      <c r="K29" s="11"/>
      <c r="L29" s="11"/>
      <c r="M29" s="11"/>
      <c r="N29" s="15"/>
      <c r="O29" s="15"/>
    </row>
    <row r="30" spans="1:15" ht="39.75" customHeight="1">
      <c r="A30" s="10" t="str">
        <f t="shared" si="3"/>
        <v/>
      </c>
      <c r="B30" s="11"/>
      <c r="C30" s="11"/>
      <c r="D30" s="11"/>
      <c r="E30" s="12"/>
      <c r="F30" s="12"/>
      <c r="G30" s="13" t="str">
        <f t="shared" si="0"/>
        <v/>
      </c>
      <c r="H30" s="10" t="str">
        <f t="shared" si="1"/>
        <v/>
      </c>
      <c r="I30" s="14" t="str">
        <f t="shared" si="2"/>
        <v/>
      </c>
      <c r="J30" s="11"/>
      <c r="K30" s="11"/>
      <c r="L30" s="11"/>
      <c r="M30" s="11"/>
      <c r="N30" s="15"/>
      <c r="O30" s="15"/>
    </row>
    <row r="31" spans="1:15" ht="39.75" customHeight="1">
      <c r="A31" s="10" t="str">
        <f t="shared" si="3"/>
        <v/>
      </c>
      <c r="B31" s="11"/>
      <c r="C31" s="11"/>
      <c r="D31" s="11"/>
      <c r="E31" s="12"/>
      <c r="F31" s="12"/>
      <c r="G31" s="13" t="str">
        <f t="shared" si="0"/>
        <v/>
      </c>
      <c r="H31" s="10" t="str">
        <f t="shared" si="1"/>
        <v/>
      </c>
      <c r="I31" s="14" t="str">
        <f t="shared" si="2"/>
        <v/>
      </c>
      <c r="J31" s="11"/>
      <c r="K31" s="11"/>
      <c r="L31" s="11"/>
      <c r="M31" s="11"/>
      <c r="N31" s="15"/>
      <c r="O31" s="15"/>
    </row>
    <row r="32" spans="1:15" ht="39.75" customHeight="1">
      <c r="A32" s="10" t="str">
        <f t="shared" si="3"/>
        <v/>
      </c>
      <c r="B32" s="11"/>
      <c r="C32" s="11"/>
      <c r="D32" s="11"/>
      <c r="E32" s="12"/>
      <c r="F32" s="12"/>
      <c r="G32" s="13" t="str">
        <f t="shared" si="0"/>
        <v/>
      </c>
      <c r="H32" s="10" t="str">
        <f t="shared" si="1"/>
        <v/>
      </c>
      <c r="I32" s="14" t="str">
        <f t="shared" si="2"/>
        <v/>
      </c>
      <c r="J32" s="11"/>
      <c r="K32" s="11"/>
      <c r="L32" s="11"/>
      <c r="M32" s="11"/>
      <c r="N32" s="15"/>
      <c r="O32" s="15"/>
    </row>
    <row r="33" spans="1:15" ht="39.75" customHeight="1">
      <c r="A33" s="10" t="str">
        <f t="shared" si="3"/>
        <v/>
      </c>
      <c r="B33" s="11"/>
      <c r="C33" s="11"/>
      <c r="D33" s="11"/>
      <c r="E33" s="12"/>
      <c r="F33" s="12"/>
      <c r="G33" s="13" t="str">
        <f t="shared" si="0"/>
        <v/>
      </c>
      <c r="H33" s="10" t="str">
        <f t="shared" si="1"/>
        <v/>
      </c>
      <c r="I33" s="14" t="str">
        <f t="shared" si="2"/>
        <v/>
      </c>
      <c r="J33" s="11"/>
      <c r="K33" s="11"/>
      <c r="L33" s="11"/>
      <c r="M33" s="11"/>
      <c r="N33" s="15"/>
      <c r="O33" s="15"/>
    </row>
    <row r="34" spans="1:15" ht="15"/>
  </sheetData>
  <mergeCells count="2">
    <mergeCell ref="A1:F1"/>
    <mergeCell ref="G1:O1"/>
  </mergeCells>
  <phoneticPr fontId="27" type="noConversion"/>
  <conditionalFormatting sqref="H4:H33">
    <cfRule type="expression" dxfId="4" priority="2">
      <formula>$H4="Alto"</formula>
    </cfRule>
    <cfRule type="expression" dxfId="3" priority="3">
      <formula>$H4="Medio"</formula>
    </cfRule>
    <cfRule type="expression" dxfId="2" priority="4">
      <formula>$H4="Bajo"</formula>
    </cfRule>
  </conditionalFormatting>
  <conditionalFormatting sqref="D4:D33">
    <cfRule type="expression" dxfId="1" priority="5">
      <formula>$D4="Amenaza"</formula>
    </cfRule>
    <cfRule type="expression" dxfId="0" priority="6">
      <formula>$D4="Oportunidad"</formula>
    </cfRule>
  </conditionalFormatting>
  <dataValidations count="5">
    <dataValidation type="list" allowBlank="1" error="Seleccione una categoría de la lista." prompt="Seleccione la categoría de origen del riesgo (RBS)." sqref="C4:C33" xr:uid="{00000000-0002-0000-0100-000000000000}">
      <formula1>"Técnico,Gestión del Proyecto,Organizacional,Externo"</formula1>
      <formula2>0</formula2>
    </dataValidation>
    <dataValidation type="list" allowBlank="1" prompt="¿Es un riesgo negativo (amenaza) o positivo (oportunidad)?" sqref="D4:D33" xr:uid="{00000000-0002-0000-0100-000001000000}">
      <formula1>"Amenaza,Oportunidad"</formula1>
      <formula2>0</formula2>
    </dataValidation>
    <dataValidation type="list" allowBlank="1" prompt="1 = muy baja … 5 = muy alta. Ver hoja Guía y Escalas." sqref="E4:E33" xr:uid="{00000000-0002-0000-0100-000002000000}">
      <formula1>"1,2,3,4,5"</formula1>
      <formula2>0</formula2>
    </dataValidation>
    <dataValidation type="list" allowBlank="1" prompt="1 = muy bajo … 5 = muy alto. Ver hoja Guía y Escalas." sqref="F4:F33" xr:uid="{00000000-0002-0000-0100-000003000000}">
      <formula1>"1,2,3,4,5"</formula1>
      <formula2>0</formula2>
    </dataValidation>
    <dataValidation type="list" allowBlank="1" sqref="M4:M33" xr:uid="{00000000-0002-0000-0100-000004000000}">
      <formula1>"Identificado,En seguimiento,Mitigado,Cerrado,Materializado"</formula1>
      <formula2>0</formula2>
    </dataValidation>
  </dataValidations>
  <pageMargins left="0.3" right="0.3" top="0.4" bottom="0.4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I20"/>
  <sheetViews>
    <sheetView showGridLines="0" zoomScaleNormal="100" workbookViewId="0"/>
  </sheetViews>
  <sheetFormatPr defaultColWidth="8.7109375" defaultRowHeight="14.45"/>
  <cols>
    <col min="1" max="1" width="3" customWidth="1"/>
    <col min="2" max="2" width="14" customWidth="1"/>
    <col min="3" max="7" width="13" customWidth="1"/>
    <col min="8" max="8" width="4" customWidth="1"/>
    <col min="9" max="9" width="30" customWidth="1"/>
    <col min="10" max="10" width="4" customWidth="1"/>
  </cols>
  <sheetData>
    <row r="2" spans="1:9" ht="22.9">
      <c r="B2" s="64" t="s">
        <v>25</v>
      </c>
      <c r="C2" s="64"/>
      <c r="D2" s="64"/>
      <c r="E2" s="64"/>
      <c r="F2" s="64"/>
      <c r="G2" s="64"/>
      <c r="H2" s="64"/>
    </row>
    <row r="3" spans="1:9">
      <c r="B3" s="65" t="s">
        <v>83</v>
      </c>
      <c r="C3" s="65"/>
      <c r="D3" s="65"/>
      <c r="E3" s="65"/>
      <c r="F3" s="65"/>
      <c r="G3" s="65"/>
      <c r="H3" s="65"/>
    </row>
    <row r="5" spans="1:9" ht="15" customHeight="1">
      <c r="C5" s="48" t="s">
        <v>84</v>
      </c>
      <c r="D5" s="48"/>
      <c r="E5" s="48"/>
      <c r="F5" s="48"/>
      <c r="G5" s="48"/>
    </row>
    <row r="6" spans="1:9">
      <c r="C6" s="16" t="s">
        <v>85</v>
      </c>
      <c r="D6" s="16" t="s">
        <v>86</v>
      </c>
      <c r="E6" s="16" t="s">
        <v>87</v>
      </c>
      <c r="F6" s="16" t="s">
        <v>88</v>
      </c>
      <c r="G6" s="16" t="s">
        <v>89</v>
      </c>
      <c r="H6" s="49" t="s">
        <v>90</v>
      </c>
      <c r="I6" s="49"/>
    </row>
    <row r="7" spans="1:9" ht="33.75" customHeight="1">
      <c r="A7" s="47" t="s">
        <v>91</v>
      </c>
      <c r="B7" s="16" t="s">
        <v>92</v>
      </c>
      <c r="C7" s="17">
        <f>COUNTIFS('Registro de Riesgos'!$E$4:$E$33,5,'Registro de Riesgos'!$F$4:$F$33,1)</f>
        <v>0</v>
      </c>
      <c r="D7" s="18">
        <f>COUNTIFS('Registro de Riesgos'!$E$4:$E$33,5,'Registro de Riesgos'!$F$4:$F$33,2)</f>
        <v>0</v>
      </c>
      <c r="E7" s="19">
        <f>COUNTIFS('Registro de Riesgos'!$E$4:$E$33,5,'Registro de Riesgos'!$F$4:$F$33,3)</f>
        <v>0</v>
      </c>
      <c r="F7" s="19">
        <f>COUNTIFS('Registro de Riesgos'!$E$4:$E$33,5,'Registro de Riesgos'!$F$4:$F$33,4)</f>
        <v>0</v>
      </c>
      <c r="G7" s="19">
        <f>COUNTIFS('Registro de Riesgos'!$E$4:$E$33,5,'Registro de Riesgos'!$F$4:$F$33,5)</f>
        <v>0</v>
      </c>
      <c r="H7" s="5" t="s">
        <v>93</v>
      </c>
      <c r="I7" s="20" t="s">
        <v>94</v>
      </c>
    </row>
    <row r="8" spans="1:9" ht="33.75" customHeight="1">
      <c r="A8" s="47"/>
      <c r="B8" s="16" t="s">
        <v>95</v>
      </c>
      <c r="C8" s="17">
        <f>COUNTIFS('Registro de Riesgos'!$E$4:$E$33,4,'Registro de Riesgos'!$F$4:$F$33,1)</f>
        <v>1</v>
      </c>
      <c r="D8" s="18">
        <f>COUNTIFS('Registro de Riesgos'!$E$4:$E$33,4,'Registro de Riesgos'!$F$4:$F$33,2)</f>
        <v>0</v>
      </c>
      <c r="E8" s="18">
        <f>COUNTIFS('Registro de Riesgos'!$E$4:$E$33,4,'Registro de Riesgos'!$F$4:$F$33,3)</f>
        <v>1</v>
      </c>
      <c r="F8" s="19">
        <f>COUNTIFS('Registro de Riesgos'!$E$4:$E$33,4,'Registro de Riesgos'!$F$4:$F$33,4)</f>
        <v>1</v>
      </c>
      <c r="G8" s="19">
        <f>COUNTIFS('Registro de Riesgos'!$E$4:$E$33,4,'Registro de Riesgos'!$F$4:$F$33,5)</f>
        <v>0</v>
      </c>
      <c r="H8" s="6" t="s">
        <v>93</v>
      </c>
      <c r="I8" s="20" t="s">
        <v>96</v>
      </c>
    </row>
    <row r="9" spans="1:9" ht="33.75" customHeight="1">
      <c r="A9" s="47"/>
      <c r="B9" s="16" t="s">
        <v>97</v>
      </c>
      <c r="C9" s="17">
        <f>COUNTIFS('Registro de Riesgos'!$E$4:$E$33,3,'Registro de Riesgos'!$F$4:$F$33,1)</f>
        <v>0</v>
      </c>
      <c r="D9" s="18">
        <f>COUNTIFS('Registro de Riesgos'!$E$4:$E$33,3,'Registro de Riesgos'!$F$4:$F$33,2)</f>
        <v>0</v>
      </c>
      <c r="E9" s="18">
        <f>COUNTIFS('Registro de Riesgos'!$E$4:$E$33,3,'Registro de Riesgos'!$F$4:$F$33,3)</f>
        <v>1</v>
      </c>
      <c r="F9" s="18">
        <f>COUNTIFS('Registro de Riesgos'!$E$4:$E$33,3,'Registro de Riesgos'!$F$4:$F$33,4)</f>
        <v>0</v>
      </c>
      <c r="G9" s="19">
        <f>COUNTIFS('Registro de Riesgos'!$E$4:$E$33,3,'Registro de Riesgos'!$F$4:$F$33,5)</f>
        <v>1</v>
      </c>
      <c r="H9" s="7" t="s">
        <v>93</v>
      </c>
      <c r="I9" s="20" t="s">
        <v>98</v>
      </c>
    </row>
    <row r="10" spans="1:9" ht="33.75" customHeight="1">
      <c r="A10" s="47"/>
      <c r="B10" s="16" t="s">
        <v>99</v>
      </c>
      <c r="C10" s="17">
        <f>COUNTIFS('Registro de Riesgos'!$E$4:$E$33,2,'Registro de Riesgos'!$F$4:$F$33,1)</f>
        <v>0</v>
      </c>
      <c r="D10" s="17">
        <f>COUNTIFS('Registro de Riesgos'!$E$4:$E$33,2,'Registro de Riesgos'!$F$4:$F$33,2)</f>
        <v>0</v>
      </c>
      <c r="E10" s="18">
        <f>COUNTIFS('Registro de Riesgos'!$E$4:$E$33,2,'Registro de Riesgos'!$F$4:$F$33,3)</f>
        <v>0</v>
      </c>
      <c r="F10" s="18">
        <f>COUNTIFS('Registro de Riesgos'!$E$4:$E$33,2,'Registro de Riesgos'!$F$4:$F$33,4)</f>
        <v>1</v>
      </c>
      <c r="G10" s="18">
        <f>COUNTIFS('Registro de Riesgos'!$E$4:$E$33,2,'Registro de Riesgos'!$F$4:$F$33,5)</f>
        <v>0</v>
      </c>
    </row>
    <row r="11" spans="1:9" ht="33.75" customHeight="1">
      <c r="A11" s="47"/>
      <c r="B11" s="16" t="s">
        <v>100</v>
      </c>
      <c r="C11" s="17">
        <f>COUNTIFS('Registro de Riesgos'!$E$4:$E$33,1,'Registro de Riesgos'!$F$4:$F$33,1)</f>
        <v>0</v>
      </c>
      <c r="D11" s="17">
        <f>COUNTIFS('Registro de Riesgos'!$E$4:$E$33,1,'Registro de Riesgos'!$F$4:$F$33,2)</f>
        <v>0</v>
      </c>
      <c r="E11" s="17">
        <f>COUNTIFS('Registro de Riesgos'!$E$4:$E$33,1,'Registro de Riesgos'!$F$4:$F$33,3)</f>
        <v>0</v>
      </c>
      <c r="F11" s="17">
        <f>COUNTIFS('Registro de Riesgos'!$E$4:$E$33,1,'Registro de Riesgos'!$F$4:$F$33,4)</f>
        <v>0</v>
      </c>
      <c r="G11" s="17">
        <f>COUNTIFS('Registro de Riesgos'!$E$4:$E$33,1,'Registro de Riesgos'!$F$4:$F$33,5)</f>
        <v>0</v>
      </c>
    </row>
    <row r="14" spans="1:9" ht="16.899999999999999">
      <c r="B14" s="61" t="s">
        <v>101</v>
      </c>
      <c r="C14" s="61"/>
      <c r="D14" s="61"/>
      <c r="E14" s="61"/>
      <c r="F14" s="61"/>
      <c r="G14" s="61"/>
      <c r="H14" s="61"/>
    </row>
    <row r="15" spans="1:9" ht="19.5" customHeight="1">
      <c r="B15" s="21" t="s">
        <v>102</v>
      </c>
      <c r="D15" s="22">
        <f>COUNTA('Registro de Riesgos'!$B$4:$B$33)</f>
        <v>6</v>
      </c>
    </row>
    <row r="16" spans="1:9" ht="19.5" customHeight="1">
      <c r="B16" s="21" t="s">
        <v>103</v>
      </c>
      <c r="D16" s="22">
        <f>COUNTIF('Registro de Riesgos'!$D$4:$D$33,"Amenaza")</f>
        <v>5</v>
      </c>
    </row>
    <row r="17" spans="2:4" ht="19.5" customHeight="1">
      <c r="B17" s="21" t="s">
        <v>104</v>
      </c>
      <c r="D17" s="22">
        <f>COUNTIF('Registro de Riesgos'!$D$4:$D$33,"Oportunidad")</f>
        <v>1</v>
      </c>
    </row>
    <row r="18" spans="2:4" ht="19.5" customHeight="1">
      <c r="B18" s="21" t="s">
        <v>105</v>
      </c>
      <c r="D18" s="22">
        <f>COUNTIF('Registro de Riesgos'!$H$4:$H$33,"Alto")</f>
        <v>2</v>
      </c>
    </row>
    <row r="19" spans="2:4" ht="19.5" customHeight="1">
      <c r="B19" s="21" t="s">
        <v>106</v>
      </c>
      <c r="D19" s="22">
        <f>COUNTIF('Registro de Riesgos'!$H$4:$H$33,"Medio")</f>
        <v>3</v>
      </c>
    </row>
    <row r="20" spans="2:4" ht="19.5" customHeight="1">
      <c r="B20" s="21" t="s">
        <v>107</v>
      </c>
      <c r="D20" s="22">
        <f>COUNTIF('Registro de Riesgos'!$H$4:$H$33,"Bajo")</f>
        <v>1</v>
      </c>
    </row>
  </sheetData>
  <mergeCells count="6">
    <mergeCell ref="A7:A11"/>
    <mergeCell ref="B14:H14"/>
    <mergeCell ref="B2:H2"/>
    <mergeCell ref="B3:H3"/>
    <mergeCell ref="C5:G5"/>
    <mergeCell ref="H6:I6"/>
  </mergeCells>
  <pageMargins left="0.3" right="0.3" top="0.4" bottom="0.4" header="0.511811023622047" footer="0.511811023622047"/>
  <pageSetup fitToHeight="0"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D42"/>
  <sheetViews>
    <sheetView showGridLines="0" topLeftCell="A10" zoomScaleNormal="100" workbookViewId="0"/>
  </sheetViews>
  <sheetFormatPr defaultColWidth="8.7109375" defaultRowHeight="14.45"/>
  <cols>
    <col min="1" max="1" width="3" customWidth="1"/>
    <col min="2" max="2" width="16" customWidth="1"/>
    <col min="3" max="3" width="20" customWidth="1"/>
    <col min="4" max="4" width="55" customWidth="1"/>
    <col min="5" max="6" width="3" customWidth="1"/>
  </cols>
  <sheetData>
    <row r="2" spans="2:4" ht="22.9">
      <c r="B2" s="64" t="s">
        <v>27</v>
      </c>
      <c r="C2" s="64"/>
      <c r="D2" s="64"/>
    </row>
    <row r="4" spans="2:4" ht="21.75" customHeight="1">
      <c r="B4" s="66" t="s">
        <v>108</v>
      </c>
      <c r="C4" s="66"/>
      <c r="D4" s="66"/>
    </row>
    <row r="5" spans="2:4" ht="18" customHeight="1">
      <c r="B5" s="23" t="s">
        <v>109</v>
      </c>
      <c r="C5" s="23" t="s">
        <v>110</v>
      </c>
      <c r="D5" s="23" t="s">
        <v>111</v>
      </c>
    </row>
    <row r="6" spans="2:4" ht="30" customHeight="1">
      <c r="B6" s="24">
        <v>1</v>
      </c>
      <c r="C6" s="25" t="s">
        <v>112</v>
      </c>
      <c r="D6" s="25" t="s">
        <v>113</v>
      </c>
    </row>
    <row r="7" spans="2:4" ht="30" customHeight="1">
      <c r="B7" s="24">
        <v>2</v>
      </c>
      <c r="C7" s="25" t="s">
        <v>114</v>
      </c>
      <c r="D7" s="25" t="s">
        <v>115</v>
      </c>
    </row>
    <row r="8" spans="2:4" ht="30" customHeight="1">
      <c r="B8" s="24">
        <v>3</v>
      </c>
      <c r="C8" s="25" t="s">
        <v>116</v>
      </c>
      <c r="D8" s="25" t="s">
        <v>117</v>
      </c>
    </row>
    <row r="9" spans="2:4" ht="30" customHeight="1">
      <c r="B9" s="24">
        <v>4</v>
      </c>
      <c r="C9" s="25" t="s">
        <v>118</v>
      </c>
      <c r="D9" s="25" t="s">
        <v>119</v>
      </c>
    </row>
    <row r="10" spans="2:4" ht="30" customHeight="1">
      <c r="B10" s="24">
        <v>5</v>
      </c>
      <c r="C10" s="25" t="s">
        <v>120</v>
      </c>
      <c r="D10" s="25" t="s">
        <v>121</v>
      </c>
    </row>
    <row r="12" spans="2:4" ht="21.75" customHeight="1">
      <c r="B12" s="66" t="s">
        <v>122</v>
      </c>
      <c r="C12" s="66"/>
      <c r="D12" s="66"/>
    </row>
    <row r="13" spans="2:4" ht="18" customHeight="1">
      <c r="B13" s="23" t="s">
        <v>109</v>
      </c>
      <c r="C13" s="23" t="s">
        <v>110</v>
      </c>
      <c r="D13" s="23" t="s">
        <v>111</v>
      </c>
    </row>
    <row r="14" spans="2:4" ht="30" customHeight="1">
      <c r="B14" s="24">
        <v>1</v>
      </c>
      <c r="C14" s="25" t="s">
        <v>123</v>
      </c>
      <c r="D14" s="25" t="s">
        <v>124</v>
      </c>
    </row>
    <row r="15" spans="2:4" ht="30" customHeight="1">
      <c r="B15" s="24">
        <v>2</v>
      </c>
      <c r="C15" s="25" t="s">
        <v>125</v>
      </c>
      <c r="D15" s="25" t="s">
        <v>126</v>
      </c>
    </row>
    <row r="16" spans="2:4" ht="30" customHeight="1">
      <c r="B16" s="24">
        <v>3</v>
      </c>
      <c r="C16" s="25" t="s">
        <v>127</v>
      </c>
      <c r="D16" s="25" t="s">
        <v>128</v>
      </c>
    </row>
    <row r="17" spans="2:4" ht="30" customHeight="1">
      <c r="B17" s="24">
        <v>4</v>
      </c>
      <c r="C17" s="25" t="s">
        <v>129</v>
      </c>
      <c r="D17" s="25" t="s">
        <v>130</v>
      </c>
    </row>
    <row r="18" spans="2:4" ht="30" customHeight="1">
      <c r="B18" s="24">
        <v>5</v>
      </c>
      <c r="C18" s="25" t="s">
        <v>131</v>
      </c>
      <c r="D18" s="25" t="s">
        <v>132</v>
      </c>
    </row>
    <row r="20" spans="2:4" ht="21.75" customHeight="1">
      <c r="B20" s="66" t="s">
        <v>133</v>
      </c>
      <c r="C20" s="66"/>
      <c r="D20" s="66"/>
    </row>
    <row r="21" spans="2:4" ht="18" customHeight="1">
      <c r="B21" s="23" t="s">
        <v>36</v>
      </c>
      <c r="C21" s="23" t="s">
        <v>110</v>
      </c>
      <c r="D21" s="23" t="s">
        <v>134</v>
      </c>
    </row>
    <row r="22" spans="2:4" ht="30" customHeight="1">
      <c r="B22" s="26" t="s">
        <v>135</v>
      </c>
      <c r="C22" s="27" t="s">
        <v>125</v>
      </c>
      <c r="D22" s="27" t="s">
        <v>136</v>
      </c>
    </row>
    <row r="23" spans="2:4" ht="30" customHeight="1">
      <c r="B23" s="28" t="s">
        <v>137</v>
      </c>
      <c r="C23" s="29" t="s">
        <v>127</v>
      </c>
      <c r="D23" s="29" t="s">
        <v>138</v>
      </c>
    </row>
    <row r="24" spans="2:4" ht="30" customHeight="1">
      <c r="B24" s="30" t="s">
        <v>139</v>
      </c>
      <c r="C24" s="31" t="s">
        <v>129</v>
      </c>
      <c r="D24" s="31" t="s">
        <v>140</v>
      </c>
    </row>
    <row r="26" spans="2:4" ht="21.75" customHeight="1">
      <c r="B26" s="66" t="s">
        <v>141</v>
      </c>
      <c r="C26" s="66"/>
      <c r="D26" s="66"/>
    </row>
    <row r="27" spans="2:4" ht="18" customHeight="1">
      <c r="B27" s="51" t="s">
        <v>32</v>
      </c>
      <c r="C27" s="51"/>
      <c r="D27" s="23" t="s">
        <v>142</v>
      </c>
    </row>
    <row r="28" spans="2:4" ht="30" customHeight="1">
      <c r="B28" s="52" t="s">
        <v>55</v>
      </c>
      <c r="C28" s="52"/>
      <c r="D28" s="25" t="s">
        <v>143</v>
      </c>
    </row>
    <row r="29" spans="2:4" ht="30" customHeight="1">
      <c r="B29" s="52" t="s">
        <v>73</v>
      </c>
      <c r="C29" s="52"/>
      <c r="D29" s="25" t="s">
        <v>144</v>
      </c>
    </row>
    <row r="30" spans="2:4" ht="30" customHeight="1">
      <c r="B30" s="52" t="s">
        <v>67</v>
      </c>
      <c r="C30" s="52"/>
      <c r="D30" s="25" t="s">
        <v>145</v>
      </c>
    </row>
    <row r="31" spans="2:4" ht="30" customHeight="1">
      <c r="B31" s="52" t="s">
        <v>47</v>
      </c>
      <c r="C31" s="52"/>
      <c r="D31" s="25" t="s">
        <v>146</v>
      </c>
    </row>
    <row r="33" spans="2:4" ht="21.75" customHeight="1">
      <c r="B33" s="66" t="s">
        <v>147</v>
      </c>
      <c r="C33" s="66"/>
      <c r="D33" s="66"/>
    </row>
    <row r="34" spans="2:4" ht="18" customHeight="1">
      <c r="B34" s="23" t="s">
        <v>148</v>
      </c>
      <c r="C34" s="23" t="s">
        <v>149</v>
      </c>
      <c r="D34" s="23" t="s">
        <v>134</v>
      </c>
    </row>
    <row r="35" spans="2:4" ht="30" customHeight="1">
      <c r="B35" s="32" t="s">
        <v>150</v>
      </c>
      <c r="C35" s="25" t="s">
        <v>151</v>
      </c>
      <c r="D35" s="25" t="s">
        <v>152</v>
      </c>
    </row>
    <row r="36" spans="2:4" ht="30" customHeight="1">
      <c r="B36" s="32" t="s">
        <v>153</v>
      </c>
      <c r="C36" s="25" t="s">
        <v>154</v>
      </c>
      <c r="D36" s="25" t="s">
        <v>155</v>
      </c>
    </row>
    <row r="37" spans="2:4" ht="30" customHeight="1">
      <c r="B37" s="32" t="s">
        <v>156</v>
      </c>
      <c r="C37" s="25" t="s">
        <v>157</v>
      </c>
      <c r="D37" s="25" t="s">
        <v>158</v>
      </c>
    </row>
    <row r="38" spans="2:4" ht="30" customHeight="1">
      <c r="B38" s="32" t="s">
        <v>159</v>
      </c>
      <c r="C38" s="25" t="s">
        <v>160</v>
      </c>
      <c r="D38" s="25" t="s">
        <v>161</v>
      </c>
    </row>
    <row r="39" spans="2:4" ht="30" customHeight="1">
      <c r="B39" s="32" t="s">
        <v>162</v>
      </c>
      <c r="C39" s="25" t="s">
        <v>163</v>
      </c>
      <c r="D39" s="25" t="s">
        <v>164</v>
      </c>
    </row>
    <row r="40" spans="2:4" ht="30" customHeight="1">
      <c r="B40" s="32" t="s">
        <v>165</v>
      </c>
      <c r="C40" s="25" t="s">
        <v>157</v>
      </c>
      <c r="D40" s="25" t="s">
        <v>166</v>
      </c>
    </row>
    <row r="42" spans="2:4" ht="27.75" customHeight="1">
      <c r="B42" s="50" t="s">
        <v>167</v>
      </c>
      <c r="C42" s="50"/>
      <c r="D42" s="50"/>
    </row>
  </sheetData>
  <mergeCells count="12">
    <mergeCell ref="B2:D2"/>
    <mergeCell ref="B4:D4"/>
    <mergeCell ref="B12:D12"/>
    <mergeCell ref="B20:D20"/>
    <mergeCell ref="B26:D26"/>
    <mergeCell ref="B33:D33"/>
    <mergeCell ref="B42:D42"/>
    <mergeCell ref="B27:C27"/>
    <mergeCell ref="B28:C28"/>
    <mergeCell ref="B29:C29"/>
    <mergeCell ref="B30:C30"/>
    <mergeCell ref="B31:C31"/>
  </mergeCells>
  <pageMargins left="0.3" right="0.3" top="0.4" bottom="0.4" header="0.511811023622047" footer="0.511811023622047"/>
  <pageSetup fitToHeight="0"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1ca8347-932d-4cf2-8518-970d0c875838">
      <Terms xmlns="http://schemas.microsoft.com/office/infopath/2007/PartnerControls"/>
    </lcf76f155ced4ddcb4097134ff3c332f>
    <TaxCatchAll xmlns="81b96442-d259-4d2f-847e-1d5aed50e7c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D8ED9C7C9BE364D8BB8F77187059BFA" ma:contentTypeVersion="11" ma:contentTypeDescription="Crear nuevo documento." ma:contentTypeScope="" ma:versionID="a6f38d4d26a9334e060bee1eb5cd3c29">
  <xsd:schema xmlns:xsd="http://www.w3.org/2001/XMLSchema" xmlns:xs="http://www.w3.org/2001/XMLSchema" xmlns:p="http://schemas.microsoft.com/office/2006/metadata/properties" xmlns:ns2="c1ca8347-932d-4cf2-8518-970d0c875838" xmlns:ns3="81b96442-d259-4d2f-847e-1d5aed50e7c0" targetNamespace="http://schemas.microsoft.com/office/2006/metadata/properties" ma:root="true" ma:fieldsID="210b7b7040cc406e9035bc144aaec4e5" ns2:_="" ns3:_="">
    <xsd:import namespace="c1ca8347-932d-4cf2-8518-970d0c875838"/>
    <xsd:import namespace="81b96442-d259-4d2f-847e-1d5aed50e7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ca8347-932d-4cf2-8518-970d0c8758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b96442-d259-4d2f-847e-1d5aed50e7c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d6a107e-c728-407e-a877-e7074bef73a8}" ma:internalName="TaxCatchAll" ma:showField="CatchAllData" ma:web="81b96442-d259-4d2f-847e-1d5aed50e7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C7823E-6B84-49DF-87AD-AC5F1EEB0AA3}"/>
</file>

<file path=customXml/itemProps2.xml><?xml version="1.0" encoding="utf-8"?>
<ds:datastoreItem xmlns:ds="http://schemas.openxmlformats.org/officeDocument/2006/customXml" ds:itemID="{91C27A6E-367A-4315-B52F-1B3E74B2EDC7}"/>
</file>

<file path=customXml/itemProps3.xml><?xml version="1.0" encoding="utf-8"?>
<ds:datastoreItem xmlns:ds="http://schemas.openxmlformats.org/officeDocument/2006/customXml" ds:itemID="{FC6E54F1-8766-42CB-AAB3-BB0488F994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1</cp:revision>
  <dcterms:created xsi:type="dcterms:W3CDTF">2026-09-07T19:05:06Z</dcterms:created>
  <dcterms:modified xsi:type="dcterms:W3CDTF">2026-10-12T21:27:32Z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0x010100AD8ED9C7C9BE364D8BB8F77187059BFA</vt:lpwstr>
  </property>
  <property fmtid="{D5CDD505-2E9C-101B-9397-08002B2CF9AE}" pid="3" name="MediaServiceImageTags">
    <vt:lpwstr/>
  </property>
</Properties>
</file>